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elementos" sheetId="1" r:id="rId4"/>
    <sheet state="visible" name="4 elementos" sheetId="2" r:id="rId5"/>
    <sheet state="visible" name="5 elementos" sheetId="3" r:id="rId6"/>
    <sheet state="visible" name="6 elementos" sheetId="4" r:id="rId7"/>
    <sheet state="visible" name="8 elementos" sheetId="5" r:id="rId8"/>
    <sheet state="visible" name="10A elementos" sheetId="6" r:id="rId9"/>
    <sheet state="visible" name="15A elementos" sheetId="7" r:id="rId10"/>
    <sheet state="visible" name="15B elementos" sheetId="8" r:id="rId11"/>
    <sheet state="visible" name="20elementos" sheetId="9" r:id="rId12"/>
    <sheet state="visible" name="tecnologias" sheetId="10" r:id="rId13"/>
  </sheets>
  <definedNames/>
  <calcPr/>
  <extLst>
    <ext uri="GoogleSheetsCustomDataVersion2">
      <go:sheetsCustomData xmlns:go="http://customooxmlschemas.google.com/" r:id="rId14" roundtripDataChecksum="TUdduweuTLaHagCYsAbcAfCxmm475KFXfzxMprw2+rs="/>
    </ext>
  </extLst>
</workbook>
</file>

<file path=xl/sharedStrings.xml><?xml version="1.0" encoding="utf-8"?>
<sst xmlns="http://schemas.openxmlformats.org/spreadsheetml/2006/main" count="1886" uniqueCount="1448">
  <si>
    <t>Sistema candidato: ABC</t>
  </si>
  <si>
    <t>Estado inicial:</t>
  </si>
  <si>
    <t>Resultados Pyphi</t>
  </si>
  <si>
    <t>EstrategiaQ</t>
  </si>
  <si>
    <t>EstrategiaQ (Optimizada)</t>
  </si>
  <si>
    <t>Estrategia KM</t>
  </si>
  <si>
    <t>Estrategia GeoMIP</t>
  </si>
  <si>
    <t>#Prueba</t>
  </si>
  <si>
    <t>Subsistema</t>
  </si>
  <si>
    <t>Particion - Pyphi</t>
  </si>
  <si>
    <t>Perdida - Pyphi</t>
  </si>
  <si>
    <t>Tiempo - Pyphi</t>
  </si>
  <si>
    <t>Particion - EstrategiaQ</t>
  </si>
  <si>
    <t>Perdida - EstrategiaQ</t>
  </si>
  <si>
    <t>Tiempo - EstrategiaQ</t>
  </si>
  <si>
    <t>Tiempo - EstrategiaQ (Optimizada)</t>
  </si>
  <si>
    <t>Tiempo - EstrategiaQ (Optimizada Nueva)</t>
  </si>
  <si>
    <t>Particion - KM</t>
  </si>
  <si>
    <t>Perdida - KM</t>
  </si>
  <si>
    <t>Tiempo - KM</t>
  </si>
  <si>
    <t>Particion - Geometric</t>
  </si>
  <si>
    <t>Perdida - Geometric</t>
  </si>
  <si>
    <t>Tiempo - Geometric</t>
  </si>
  <si>
    <t>ABC_{t+1}|ABC_{t}</t>
  </si>
  <si>
    <t xml:space="preserve">| B ||  A,C  |
| ∅ || a,b,c |
</t>
  </si>
  <si>
    <t>| B ||  A,C  |
| ∅ || a,b,c |</t>
  </si>
  <si>
    <t>|  A,C  || B |
| a,b,c || ∅ |</t>
  </si>
  <si>
    <t>ABC_{t+1}|AB_{t}</t>
  </si>
  <si>
    <t xml:space="preserve">| A || B,C |
| ∅ || a,b |
</t>
  </si>
  <si>
    <t>| B || A,C |
| ∅ || a,b |</t>
  </si>
  <si>
    <t>| B,C || A |
| a,b || ∅ |</t>
  </si>
  <si>
    <t>ABC_{t+1}|BC_{t}</t>
  </si>
  <si>
    <t xml:space="preserve">| C || A,B |
| ∅ || b,c |
</t>
  </si>
  <si>
    <t>| C || A,B |
| ∅ || b,c |</t>
  </si>
  <si>
    <t>| A,B || C |
| b,c || ∅ |</t>
  </si>
  <si>
    <t>ABC_{t+1}|B_{t}</t>
  </si>
  <si>
    <t xml:space="preserve">| B || A,C |
| ∅ ||  b  |
</t>
  </si>
  <si>
    <t>| C || A,B |
| ∅ ||  b  |</t>
  </si>
  <si>
    <t>| A,C || B |
|  b  || ∅ |</t>
  </si>
  <si>
    <t>ABC_{t+1}|AC_{t}</t>
  </si>
  <si>
    <t xml:space="preserve">| C || A,B |
| ∅ || a,c |
</t>
  </si>
  <si>
    <t>| C || A,B |
| ∅ || a,c |</t>
  </si>
  <si>
    <t>| A,B || C |
| a,c || ∅ |</t>
  </si>
  <si>
    <t>AB_{t+1}|ABC_{t}</t>
  </si>
  <si>
    <t xml:space="preserve">| ∅ || A,B |
| a || b,c |
</t>
  </si>
  <si>
    <t>| A,B || ∅ |
| b,c || a |</t>
  </si>
  <si>
    <t>AB_{t+1}|AB_{t}</t>
  </si>
  <si>
    <t xml:space="preserve">| B || A |
| a || b |
</t>
  </si>
  <si>
    <t>| A || B |
| b || a |</t>
  </si>
  <si>
    <t>AB_{t+1}|BC_{t}</t>
  </si>
  <si>
    <t xml:space="preserve">| B ||  A  |
| ∅ || b,c |
</t>
  </si>
  <si>
    <t>| B ||  A  |
| ∅ || b,c |</t>
  </si>
  <si>
    <t>|  A  || B |
| b,c || ∅ |</t>
  </si>
  <si>
    <t>AB_{t+1}|B_{t}</t>
  </si>
  <si>
    <t xml:space="preserve">| B || A |
| ∅ || b |
</t>
  </si>
  <si>
    <t>| B || A |
| ∅ || b |</t>
  </si>
  <si>
    <t>| A || B |
| b || ∅ |</t>
  </si>
  <si>
    <t>AB_{t+1}|AC_{t}</t>
  </si>
  <si>
    <t xml:space="preserve">| ∅ || A,B |
| a ||  c  |
</t>
  </si>
  <si>
    <t>| A,B || ∅ |
|  c  || a |</t>
  </si>
  <si>
    <t>BC_{t+1}|ABC_{t}</t>
  </si>
  <si>
    <t xml:space="preserve">|  C  || B |
| a,b || c |
</t>
  </si>
  <si>
    <t>| B ||  C  |
| c || a,b |</t>
  </si>
  <si>
    <t>|  C  || B |
| a,b || c |</t>
  </si>
  <si>
    <t>BC_{t+1}|AB_{t}</t>
  </si>
  <si>
    <t xml:space="preserve">| B ||  C  |
| ∅ || a,b |
</t>
  </si>
  <si>
    <t>| B ||  C  |
| ∅ || a,b |</t>
  </si>
  <si>
    <t>|  C  || B |
| a,b || ∅ |</t>
  </si>
  <si>
    <t>BC_{t+1}|BC_{t}</t>
  </si>
  <si>
    <t xml:space="preserve">| C ||  B  |
| ∅ || b,c |
</t>
  </si>
  <si>
    <t>| C ||  B  |
| ∅ || b,c |</t>
  </si>
  <si>
    <t>|  B  || C |
| b,c || ∅ |</t>
  </si>
  <si>
    <t>BC_{t+1}|B_{t}</t>
  </si>
  <si>
    <t xml:space="preserve">| B || C |
| ∅ || b |
</t>
  </si>
  <si>
    <t>| C || B |
| ∅ || b |</t>
  </si>
  <si>
    <t>| C || B |
| b || ∅ |</t>
  </si>
  <si>
    <t>BC_{t+1}|AC_{t}</t>
  </si>
  <si>
    <t xml:space="preserve">| C ||  B  |
| ∅ || a,c |
</t>
  </si>
  <si>
    <t>| C ||  B  |
| ∅ || a,c |</t>
  </si>
  <si>
    <t>|  B  || C |
| a,c || ∅ |</t>
  </si>
  <si>
    <t>B_{t+1}|ABC_{t}</t>
  </si>
  <si>
    <t xml:space="preserve">| ∅ ||  B  |
| a || b,c |
</t>
  </si>
  <si>
    <t>| ∅ ||  B  |
| b || a,c |</t>
  </si>
  <si>
    <t>|  B  || ∅ |
| b,c || a |</t>
  </si>
  <si>
    <t>B_{t+1}|AB_{t}</t>
  </si>
  <si>
    <t xml:space="preserve">| B || ∅ |
| a || b |
</t>
  </si>
  <si>
    <t>| ∅ || B |
| b || a |</t>
  </si>
  <si>
    <t>B_{t+1}|BC_{t}</t>
  </si>
  <si>
    <t xml:space="preserve">| ∅ || B |
| b || c |
</t>
  </si>
  <si>
    <t>| B || ∅ |
| c || b |</t>
  </si>
  <si>
    <t>B_{t+1}|B_{t}</t>
  </si>
  <si>
    <t xml:space="preserve">| B || ∅ |
| ∅ || b |
</t>
  </si>
  <si>
    <t>| B || ∅ |
| ∅ || b |</t>
  </si>
  <si>
    <t>| ∅ || B |
| b || ∅ |</t>
  </si>
  <si>
    <t>B_{t+1}|AC_{t}</t>
  </si>
  <si>
    <t xml:space="preserve">| ∅ || B |
| a || c |
</t>
  </si>
  <si>
    <t>| B || ∅ |
| c || a |</t>
  </si>
  <si>
    <t>AC_{t+1}|ABC_{t}</t>
  </si>
  <si>
    <t xml:space="preserve">| C ||   A   |
| ∅ || a,b,c |
</t>
  </si>
  <si>
    <t>| ∅ || A,C |
| c || a,b |</t>
  </si>
  <si>
    <t>|   A   || C |
| a,b,c || ∅ |</t>
  </si>
  <si>
    <t>AC_{t+1}|AB_{t}</t>
  </si>
  <si>
    <t xml:space="preserve">| A ||  C  |
| ∅ || a,b |
</t>
  </si>
  <si>
    <t>| A ||  C  |
| ∅ || a,b |</t>
  </si>
  <si>
    <t>|  C  || A |
| a,b || ∅ |</t>
  </si>
  <si>
    <t>AC_{t+1}|BC_{t}</t>
  </si>
  <si>
    <t xml:space="preserve">| C ||  A  |
| ∅ || b,c |
</t>
  </si>
  <si>
    <t>| C ||  A  |
| ∅ || b,c |</t>
  </si>
  <si>
    <t>|  A  || C |
| b,c || ∅ |</t>
  </si>
  <si>
    <t>AC_{t+1}|B_{t}</t>
  </si>
  <si>
    <t xml:space="preserve">| C || A |
| ∅ || b |
</t>
  </si>
  <si>
    <t>| C || A |
| ∅ || b |</t>
  </si>
  <si>
    <t>| A || C |
| b || ∅ |</t>
  </si>
  <si>
    <t>acierto = 100%</t>
  </si>
  <si>
    <t>E rel max = 0</t>
  </si>
  <si>
    <t>dist. estr. max = 0</t>
  </si>
  <si>
    <t>Sistema candidato: ABCD</t>
  </si>
  <si>
    <t>ABCD_{t+1}|ABCD_{t}</t>
  </si>
  <si>
    <t xml:space="preserve">| B ||  A,C,D  |
| ∅ || a,b,c,d |
</t>
  </si>
  <si>
    <t>| B ||  A,C,D  |
| ∅ || a,b,c,d |</t>
  </si>
  <si>
    <t>|  A,C,D  || B |
| a,b,c,d || ∅ |</t>
  </si>
  <si>
    <t>ABCD_{t+1}|ABC_{t}</t>
  </si>
  <si>
    <t xml:space="preserve">| D || A,B,C |
| ∅ || a,b,c |
</t>
  </si>
  <si>
    <t>| D || A,B,C |
| ∅ || a,b,c |</t>
  </si>
  <si>
    <t>| A,B,C || D |
| a,b,c || ∅ |</t>
  </si>
  <si>
    <t>ABCD_{t+1}|BCD_{t}</t>
  </si>
  <si>
    <t xml:space="preserve">| C || A,B,D |
| ∅ || b,c,d |
</t>
  </si>
  <si>
    <t>| C || A,B,D |
| ∅ || b,c,d |</t>
  </si>
  <si>
    <t>| A,B,D || C |
| b,c,d || ∅ |</t>
  </si>
  <si>
    <t>ABCD_{t+1}|BC_{t}</t>
  </si>
  <si>
    <t xml:space="preserve">| C || A,B,D |
| ∅ ||  b,c  |
</t>
  </si>
  <si>
    <t>| D || A,B,C |
| ∅ ||  b,c  |</t>
  </si>
  <si>
    <t>| A,B,D || C |
|  b,c  || ∅ |</t>
  </si>
  <si>
    <t>ABCD_{t+1}|AC_{t}</t>
  </si>
  <si>
    <t xml:space="preserve">| C || A,B,D |
| ∅ ||  a,c  |
</t>
  </si>
  <si>
    <t>| D || A,B,C |
| ∅ ||  a,c  |</t>
  </si>
  <si>
    <t>| A,B,D || C |
|  a,c  || ∅ |</t>
  </si>
  <si>
    <t>ABCD_{t+1}|BD_{t}</t>
  </si>
  <si>
    <t xml:space="preserve">| B || A,C,D |
| ∅ ||  b,d  |
</t>
  </si>
  <si>
    <t>| C || A,B,D |
| ∅ ||  b,d  |</t>
  </si>
  <si>
    <t>| A,C,D || B |
|  b,d  || ∅ |</t>
  </si>
  <si>
    <t>ABCD_{t+1}|ABD_{t}</t>
  </si>
  <si>
    <t xml:space="preserve">| B || A,C,D |
| ∅ || a,b,d |
</t>
  </si>
  <si>
    <t>| D || A,B,C |
| d ||  a,b  |</t>
  </si>
  <si>
    <t>| A,C,D || B |
| a,b,d || ∅ |</t>
  </si>
  <si>
    <t>ABC_{t+1}|ABCD_{t}</t>
  </si>
  <si>
    <t xml:space="preserve">| B ||   A,C   |
| ∅ || a,b,c,d |
</t>
  </si>
  <si>
    <t>| B ||   A,C   |
| ∅ || a,b,c,d |</t>
  </si>
  <si>
    <t>|   A,C   || B |
| a,b,c,d || ∅ |</t>
  </si>
  <si>
    <t>ABC_{t+1}|BCD_{t}</t>
  </si>
  <si>
    <t xml:space="preserve">| C ||  A,B  |
| ∅ || b,c,d |
</t>
  </si>
  <si>
    <t>| C ||  A,B  |
| ∅ || b,c,d |</t>
  </si>
  <si>
    <t>|  A,B  || C |
| b,c,d || ∅ |</t>
  </si>
  <si>
    <t>ABC_{t+1}|BD_{t}</t>
  </si>
  <si>
    <t xml:space="preserve">| B || A,C |
| ∅ || b,d |
</t>
  </si>
  <si>
    <t>| C || A,B |
| ∅ || b,d |</t>
  </si>
  <si>
    <t>| A,C || B |
| b,d || ∅ |</t>
  </si>
  <si>
    <t>ABC_{t+1}|ABD_{t}</t>
  </si>
  <si>
    <t xml:space="preserve">| B ||  A,C  |
| ∅ || a,b,d |
</t>
  </si>
  <si>
    <t>| ∅ || A,B,C |
| d ||  a,b  |</t>
  </si>
  <si>
    <t>|  A,C  || B |
| a,b,d || ∅ |</t>
  </si>
  <si>
    <t>BCD_{t+1}|ABCD_{t}</t>
  </si>
  <si>
    <t xml:space="preserve">|  C  || B,D |
| a,b || c,d |
</t>
  </si>
  <si>
    <t>| D ||  B,C  |
| d || a,b,c |</t>
  </si>
  <si>
    <t>|  C,D  || B |
| a,b,d || c |</t>
  </si>
  <si>
    <t>BCD_{t+1}|ABC_{t}</t>
  </si>
  <si>
    <t xml:space="preserve">| D ||  B,C  |
| ∅ || a,b,c |
</t>
  </si>
  <si>
    <t>| D ||  B,C  |
| ∅ || a,b,c |</t>
  </si>
  <si>
    <t>|  B,C  || D |
| a,b,c || ∅ |</t>
  </si>
  <si>
    <t>BCD_{t+1}|BCD_{t}</t>
  </si>
  <si>
    <t xml:space="preserve">| C ||  B,D  |
| ∅ || b,c,d |
</t>
  </si>
  <si>
    <t>| C ||  B,D  |
| ∅ || b,c,d |</t>
  </si>
  <si>
    <t>|  B,D  || C |
| b,c,d || ∅ |</t>
  </si>
  <si>
    <t>BCD_{t+1}|BC_{t}</t>
  </si>
  <si>
    <t xml:space="preserve">| C || B,D |
| ∅ || b,c |
</t>
  </si>
  <si>
    <t>| D || B,C |
| ∅ || b,c |</t>
  </si>
  <si>
    <t>| B,D || C |
| b,c || ∅ |</t>
  </si>
  <si>
    <t>BCD_{t+1}|AC_{t}</t>
  </si>
  <si>
    <t xml:space="preserve">| C || B,D |
| ∅ || a,c |
</t>
  </si>
  <si>
    <t>| D || B,C |
| ∅ || a,c |</t>
  </si>
  <si>
    <t>| B,D || C |
| a,c || ∅ |</t>
  </si>
  <si>
    <t>BCD_{t+1}|BD_{t}</t>
  </si>
  <si>
    <t xml:space="preserve">| B || C,D |
| ∅ || b,d |
</t>
  </si>
  <si>
    <t>| C || B,D |
| ∅ || b,d |</t>
  </si>
  <si>
    <t>| C,D || B |
| b,d || ∅ |</t>
  </si>
  <si>
    <t>BCD_{t+1}|ABD_{t}</t>
  </si>
  <si>
    <t xml:space="preserve">| B,C || D |
| a,b || d |
</t>
  </si>
  <si>
    <t>| D || B,C |
| d || a,b |</t>
  </si>
  <si>
    <t>| B,C || D |
| a,b || d |</t>
  </si>
  <si>
    <t>BC_{t+1}|ABCD_{t}</t>
  </si>
  <si>
    <t xml:space="preserve">|  C  ||  B  |
| a,b || c,d |
</t>
  </si>
  <si>
    <t>| ∅ ||  B,C  |
| d || a,b,c |</t>
  </si>
  <si>
    <t>|   C   || B |
| a,b,d || c |</t>
  </si>
  <si>
    <t>BC_{t+1}|BCD_{t}</t>
  </si>
  <si>
    <t xml:space="preserve">| C ||   B   |
| ∅ || b,c,d |
</t>
  </si>
  <si>
    <t>| C ||   B   |
| ∅ || b,c,d |</t>
  </si>
  <si>
    <t>|   B   || C |
| b,c,d || ∅ |</t>
  </si>
  <si>
    <t>BC_{t+1}|BD_{t}</t>
  </si>
  <si>
    <t xml:space="preserve">| B ||  C  |
| ∅ || b,d |
</t>
  </si>
  <si>
    <t>| C ||  B  |
| ∅ || b,d |</t>
  </si>
  <si>
    <t>|  C  || B |
| b,d || ∅ |</t>
  </si>
  <si>
    <t>BC_{t+1}|ABD_{t}</t>
  </si>
  <si>
    <t xml:space="preserve">| B,C || ∅ |
| a,b || d |
</t>
  </si>
  <si>
    <t>| ∅ || B,C |
| d || a,b |</t>
  </si>
  <si>
    <t>| B,C || ∅ |
| a,b || d |</t>
  </si>
  <si>
    <t>AC_{t+1}|ABCD_{t}</t>
  </si>
  <si>
    <t xml:space="preserve">| C ||    A    |
| ∅ || a,b,c,d |
</t>
  </si>
  <si>
    <t>| ∅ ||  A,C  |
| d || a,b,c |</t>
  </si>
  <si>
    <t>|    A    || C |
| a,b,c,d || ∅ |</t>
  </si>
  <si>
    <t xml:space="preserve">|  C  || A |
| a,b || c |
</t>
  </si>
  <si>
    <t>|  C  || A |
| a,b || c |</t>
  </si>
  <si>
    <t>AC_{t+1}|BCD_{t}</t>
  </si>
  <si>
    <t xml:space="preserve">| C ||   A   |
| ∅ || b,c,d |
</t>
  </si>
  <si>
    <t>| C ||   A   |
| ∅ || b,c,d |</t>
  </si>
  <si>
    <t>|   A   || C |
| b,c,d || ∅ |</t>
  </si>
  <si>
    <t>AC_{t+1}|AC_{t}</t>
  </si>
  <si>
    <t xml:space="preserve">| C ||  A  |
| ∅ || a,c |
</t>
  </si>
  <si>
    <t>| C ||  A  |
| ∅ || a,c |</t>
  </si>
  <si>
    <t>|  A  || C |
| a,c || ∅ |</t>
  </si>
  <si>
    <t>AC_{t+1}|BD_{t}</t>
  </si>
  <si>
    <t xml:space="preserve">| C ||  A  |
| ∅ || b,d |
</t>
  </si>
  <si>
    <t>| C ||  A  |
| ∅ || b,d |</t>
  </si>
  <si>
    <t>|  A  || C |
| b,d || ∅ |</t>
  </si>
  <si>
    <t>AC_{t+1}|ABD_{t}</t>
  </si>
  <si>
    <t xml:space="preserve">|  C  || A |
| a,b || d |
</t>
  </si>
  <si>
    <t>| ∅ || A,C |
| d || a,b |</t>
  </si>
  <si>
    <t>|  C  || A |
| a,b || d |</t>
  </si>
  <si>
    <t>BD_{t+1}|ABCD_{t}</t>
  </si>
  <si>
    <t xml:space="preserve">| ∅ ||  B,D  |
| a || b,c,d |
</t>
  </si>
  <si>
    <t>| D ||   B   |
| d || a,b,c |</t>
  </si>
  <si>
    <t>|  B,D  || ∅ |
| b,c,d || a |</t>
  </si>
  <si>
    <t>BD_{t+1}|ABC_{t}</t>
  </si>
  <si>
    <t xml:space="preserve">| D ||   B   |
| ∅ || a,b,c |
</t>
  </si>
  <si>
    <t>| D ||   B   |
| ∅ || a,b,c |</t>
  </si>
  <si>
    <t>|   B   || D |
| a,b,c || ∅ |</t>
  </si>
  <si>
    <t>BD_{t+1}|BCD_{t}</t>
  </si>
  <si>
    <t xml:space="preserve">| ∅ || B,D |
| b || c,d |
</t>
  </si>
  <si>
    <t>| D ||  B  |
| d || b,c |</t>
  </si>
  <si>
    <t>| B,D || ∅ |
| c,d || b |</t>
  </si>
  <si>
    <t>BD_{t+1}|BC_{t}</t>
  </si>
  <si>
    <t xml:space="preserve">| D ||  B  |
| ∅ || b,c |
</t>
  </si>
  <si>
    <t>| D ||  B  |
| ∅ || b,c |</t>
  </si>
  <si>
    <t>|  B  || D |
| b,c || ∅ |</t>
  </si>
  <si>
    <t>BD_{t+1}|AC_{t}</t>
  </si>
  <si>
    <t xml:space="preserve">| D ||  B  |
| ∅ || a,c |
</t>
  </si>
  <si>
    <t>| D ||  B  |
| ∅ || a,c |</t>
  </si>
  <si>
    <t>|  B  || D |
| a,c || ∅ |</t>
  </si>
  <si>
    <t>BD_{t+1}|BD_{t}</t>
  </si>
  <si>
    <t xml:space="preserve">| B ||  D  |
| ∅ || b,d |
</t>
  </si>
  <si>
    <t>| B ||  D  |
| ∅ || b,d |</t>
  </si>
  <si>
    <t>|  D  || B |
| b,d || ∅ |</t>
  </si>
  <si>
    <t>BD_{t+1}|ABD_{t}</t>
  </si>
  <si>
    <t xml:space="preserve">| B ||  D  |
| a || b,d |
</t>
  </si>
  <si>
    <t>| D ||  B  |
| d || a,b |</t>
  </si>
  <si>
    <t>|  D  || B |
| b,d || a |</t>
  </si>
  <si>
    <t>ABD_{t+1}|ABCD_{t}</t>
  </si>
  <si>
    <t xml:space="preserve">| ∅ || A,B,D |
| a || b,c,d |
</t>
  </si>
  <si>
    <t>| A,B,D || ∅ |
| b,c,d || a |</t>
  </si>
  <si>
    <t>ABD_{t+1}|ABC_{t}</t>
  </si>
  <si>
    <t xml:space="preserve">| D ||  A,B  |
| ∅ || a,b,c |
</t>
  </si>
  <si>
    <t>| D ||  A,B  |
| ∅ || a,b,c |</t>
  </si>
  <si>
    <t>|  A,B  || D |
| a,b,c || ∅ |</t>
  </si>
  <si>
    <t>ABD_{t+1}|BCD_{t}</t>
  </si>
  <si>
    <t xml:space="preserve">| B ||  A,D  |
| ∅ || b,c,d |
</t>
  </si>
  <si>
    <t>| B ||  A,D  |
| ∅ || b,c,d |</t>
  </si>
  <si>
    <t>|  A,D  || B |
| b,c,d || ∅ |</t>
  </si>
  <si>
    <t>ABD_{t+1}|BC_{t}</t>
  </si>
  <si>
    <t xml:space="preserve">| D || A,B |
| ∅ || b,c |
</t>
  </si>
  <si>
    <t>| D || A,B |
| ∅ || b,c |</t>
  </si>
  <si>
    <t>| A,B || D |
| b,c || ∅ |</t>
  </si>
  <si>
    <t>ABD_{t+1}|AC_{t}</t>
  </si>
  <si>
    <t xml:space="preserve">| D || A,B |
| ∅ || a,c |
</t>
  </si>
  <si>
    <t>| D || A,B |
| ∅ || a,c |</t>
  </si>
  <si>
    <t>| A,B || D |
| a,c || ∅ |</t>
  </si>
  <si>
    <t>ABD_{t+1}|BD_{t}</t>
  </si>
  <si>
    <t xml:space="preserve">| B || A,D |
| ∅ || b,d |
</t>
  </si>
  <si>
    <t>| B || A,D |
| ∅ || b,d |</t>
  </si>
  <si>
    <t>| A,D || B |
| b,d || ∅ |</t>
  </si>
  <si>
    <t>ABD_{t+1}|ABD_{t}</t>
  </si>
  <si>
    <t xml:space="preserve">| B || A,D |
| a || b,d |
</t>
  </si>
  <si>
    <t>| A,D || B |
| b,d || a |</t>
  </si>
  <si>
    <t>acierto 96%</t>
  </si>
  <si>
    <t>0.5</t>
  </si>
  <si>
    <t>Sistema candidato: ABCDE</t>
  </si>
  <si>
    <t>ABCDE_{t+1}|ABCDE_{t}</t>
  </si>
  <si>
    <t xml:space="preserve">| D ||  A,B,C,E  |
| ∅ || a,b,c,d,e |
</t>
  </si>
  <si>
    <t>| D ||  A,B,C,E  |
| ∅ || a,b,c,d,e |</t>
  </si>
  <si>
    <t>|  A,B,C,E  || D |
| a,b,c,d,e || ∅ |</t>
  </si>
  <si>
    <t>ABCDE_{t+1}|ABCD_{t}</t>
  </si>
  <si>
    <t xml:space="preserve">| D || A,B,C,E |
| ∅ || a,b,c,d |
</t>
  </si>
  <si>
    <t>| D || A,B,C,E |
| ∅ || a,b,c,d |</t>
  </si>
  <si>
    <t>| A,B,C,E || D |
| a,b,c,d || ∅ |</t>
  </si>
  <si>
    <t>ABCDE_{t+1}|BCDE_{t}</t>
  </si>
  <si>
    <t xml:space="preserve">| C || A,B,D,E |
| ∅ || b,c,d,e |
</t>
  </si>
  <si>
    <t>| D || A,B,C,E |
| ∅ || b,c,d,e |</t>
  </si>
  <si>
    <t>| A,B,D,E || C |
| b,c,d,e || ∅ |</t>
  </si>
  <si>
    <t>ABCDE_{t+1}|BCD_{t}</t>
  </si>
  <si>
    <t xml:space="preserve">| C || A,B,D,E |
| ∅ ||  b,c,d  |
</t>
  </si>
  <si>
    <t>| D || A,B,C,E |
| ∅ ||  b,c,d  |</t>
  </si>
  <si>
    <t>| A,B,D,E || C |
|  b,c,d  || ∅ |</t>
  </si>
  <si>
    <t>ABCDE_{t+1}|ACE_{t}</t>
  </si>
  <si>
    <t xml:space="preserve">| C || A,B,D,E |
| ∅ ||  a,c,e  |
</t>
  </si>
  <si>
    <t>| E || A,B,C,D |
| ∅ ||  a,c,e  |</t>
  </si>
  <si>
    <t>| A,B,D,E || C |
|  a,c,e  || ∅ |</t>
  </si>
  <si>
    <t>ABCDE_{t+1}|BD_{t}</t>
  </si>
  <si>
    <t xml:space="preserve">| B || A,C,D,E |
| ∅ ||   b,d   |
</t>
  </si>
  <si>
    <t>| D || A,B,C,E |
| ∅ ||   b,d   |</t>
  </si>
  <si>
    <t>| A,C,D,E || B |
|   b,d   || ∅ |</t>
  </si>
  <si>
    <t>ABCDE_{t+1}|ABDE_{t}</t>
  </si>
  <si>
    <t xml:space="preserve">| D || A,B,C,E |
| ∅ || a,b,d,e |
</t>
  </si>
  <si>
    <t>| D || A,B,C,E |
| ∅ || a,b,d,e |</t>
  </si>
  <si>
    <t>| A,B,C,E || D |
| a,b,d,e || ∅ |</t>
  </si>
  <si>
    <t>ABCD_{t+1}|ABCDE_{t}</t>
  </si>
  <si>
    <t xml:space="preserve">| D ||   A,B,C   |
| ∅ || a,b,c,d,e |
</t>
  </si>
  <si>
    <t>| D ||   A,B,C   |
| ∅ || a,b,c,d,e |</t>
  </si>
  <si>
    <t>|   A,B,C   || D |
| a,b,c,d,e || ∅ |</t>
  </si>
  <si>
    <t xml:space="preserve">| D ||  A,B,C  |
| ∅ || a,b,c,d |
</t>
  </si>
  <si>
    <t>| D ||  A,B,C  |
| ∅ || a,b,c,d |</t>
  </si>
  <si>
    <t>|  A,B,C  || D |
| a,b,c,d || ∅ |</t>
  </si>
  <si>
    <t>ABCD_{t+1}|BCDE_{t}</t>
  </si>
  <si>
    <t xml:space="preserve">| C ||  A,B,D  |
| ∅ || b,c,d,e |
</t>
  </si>
  <si>
    <t>| D ||  A,B,C  |
| ∅ || b,c,d,e |</t>
  </si>
  <si>
    <t>|  A,B,D  || C |
| b,c,d,e || ∅ |</t>
  </si>
  <si>
    <t>| D || A,B,C |
| ∅ || b,c,d |</t>
  </si>
  <si>
    <t>ABCD_{t+1}|ACE_{t}</t>
  </si>
  <si>
    <t xml:space="preserve">| C || A,B,D |
| ∅ || a,c,e |
</t>
  </si>
  <si>
    <t>| D || A,B,C |
| ∅ || a,c,e |</t>
  </si>
  <si>
    <t>| A,B,D || C |
| a,c,e || ∅ |</t>
  </si>
  <si>
    <t>| D || A,B,C |
| ∅ ||  b,d  |</t>
  </si>
  <si>
    <t>ABCD_{t+1}|ABDE_{t}</t>
  </si>
  <si>
    <t xml:space="preserve">| D ||  A,B,C  |
| ∅ || a,b,d,e |
</t>
  </si>
  <si>
    <t>| D ||  A,B,C  |
| ∅ || a,b,d,e |</t>
  </si>
  <si>
    <t>|  A,B,C  || D |
| a,b,d,e || ∅ |</t>
  </si>
  <si>
    <t>BCDE_{t+1}|ABCDE_{t}</t>
  </si>
  <si>
    <t xml:space="preserve">| D ||   B,C,E   |
| ∅ || a,b,c,d,e |
</t>
  </si>
  <si>
    <t>| D ||   B,C,E   |
| ∅ || a,b,c,d,e |</t>
  </si>
  <si>
    <t>|   B,C,E   || D |
| a,b,c,d,e || ∅ |</t>
  </si>
  <si>
    <t>BCDE_{t+1}|ABCD_{t}</t>
  </si>
  <si>
    <t xml:space="preserve">| D ||  B,C,E  |
| ∅ || a,b,c,d |
</t>
  </si>
  <si>
    <t>| D ||  B,C,E  |
| ∅ || a,b,c,d |</t>
  </si>
  <si>
    <t>|  B,C,E  || D |
| a,b,c,d || ∅ |</t>
  </si>
  <si>
    <t>BCDE_{t+1}|BCDE_{t}</t>
  </si>
  <si>
    <t xml:space="preserve">| C ||  B,D,E  |
| ∅ || b,c,d,e |
</t>
  </si>
  <si>
    <t>| D ||  B,C,E  |
| ∅ || b,c,d,e |</t>
  </si>
  <si>
    <t>|  B,D,E  || C |
| b,c,d,e || ∅ |</t>
  </si>
  <si>
    <t>BCDE_{t+1}|BCD_{t}</t>
  </si>
  <si>
    <t xml:space="preserve">| C || B,D,E |
| ∅ || b,c,d |
</t>
  </si>
  <si>
    <t>| D || B,C,E |
| ∅ || b,c,d |</t>
  </si>
  <si>
    <t>| B,D,E || C |
| b,c,d || ∅ |</t>
  </si>
  <si>
    <t>BCDE_{t+1}|ACE_{t}</t>
  </si>
  <si>
    <t xml:space="preserve">| C || B,D,E |
| ∅ || a,c,e |
</t>
  </si>
  <si>
    <t>| E || B,C,D |
| ∅ || a,c,e |</t>
  </si>
  <si>
    <t>| B,D,E || C |
| a,c,e || ∅ |</t>
  </si>
  <si>
    <t>BCDE_{t+1}|BD_{t}</t>
  </si>
  <si>
    <t xml:space="preserve">| B || C,D,E |
| ∅ ||  b,d  |
</t>
  </si>
  <si>
    <t>| D || B,C,E |
| ∅ ||  b,d  |</t>
  </si>
  <si>
    <t>| C,D,E || B |
|  b,d  || ∅ |</t>
  </si>
  <si>
    <t>BCDE_{t+1}|ABDE_{t}</t>
  </si>
  <si>
    <t xml:space="preserve">| D ||  B,C,E  |
| ∅ || a,b,d,e |
</t>
  </si>
  <si>
    <t>| D ||  B,C,E  |
| ∅ || a,b,d,e |</t>
  </si>
  <si>
    <t>|  B,C,E  || D |
| a,b,d,e || ∅ |</t>
  </si>
  <si>
    <t>BCD_{t+1}|ABCDE_{t}</t>
  </si>
  <si>
    <t xml:space="preserve">| D ||    B,C    |
| ∅ || a,b,c,d,e |
</t>
  </si>
  <si>
    <t>| D ||    B,C    |
| ∅ || a,b,c,d,e |</t>
  </si>
  <si>
    <t>|    B,C    || D |
| a,b,c,d,e || ∅ |</t>
  </si>
  <si>
    <t xml:space="preserve">| D ||   B,C   |
| ∅ || a,b,c,d |
</t>
  </si>
  <si>
    <t>| D ||   B,C   |
| ∅ || a,b,c,d |</t>
  </si>
  <si>
    <t>|   B,C   || D |
| a,b,c,d || ∅ |</t>
  </si>
  <si>
    <t>BCD_{t+1}|BCDE_{t}</t>
  </si>
  <si>
    <t xml:space="preserve">| C ||   B,D   |
| ∅ || b,c,d,e |
</t>
  </si>
  <si>
    <t>| D ||   B,C   |
| ∅ || b,c,d,e |</t>
  </si>
  <si>
    <t>|   B,D   || C |
| b,c,d,e || ∅ |</t>
  </si>
  <si>
    <t>| D ||  B,C  |
| ∅ || b,c,d |</t>
  </si>
  <si>
    <t>BCD_{t+1}|ACE_{t}</t>
  </si>
  <si>
    <t xml:space="preserve">| C ||  B,D  |
| ∅ || a,c,e |
</t>
  </si>
  <si>
    <t>| D ||  B,C  |
| ∅ || a,c,e |</t>
  </si>
  <si>
    <t>|  B,D  || C |
| a,c,e || ∅ |</t>
  </si>
  <si>
    <t>| D || B,C |
| ∅ || b,d |</t>
  </si>
  <si>
    <t>BCD_{t+1}|ABDE_{t}</t>
  </si>
  <si>
    <t xml:space="preserve">| D ||   B,C   |
| ∅ || a,b,d,e |
</t>
  </si>
  <si>
    <t>| D ||   B,C   |
| ∅ || a,b,d,e |</t>
  </si>
  <si>
    <t>|   B,C   || D |
| a,b,d,e || ∅ |</t>
  </si>
  <si>
    <t>ACE_{t+1}|ABCDE_{t}</t>
  </si>
  <si>
    <t xml:space="preserve">|  A,C,E  || ∅ |
| a,b,c,d || e |
</t>
  </si>
  <si>
    <t>| ∅ ||  A,C,E  |
| e || a,b,c,d |</t>
  </si>
  <si>
    <t>|  A,C,E  || ∅ |
| a,b,c,d || e |</t>
  </si>
  <si>
    <t>ACE_{t+1}|ABCD_{t}</t>
  </si>
  <si>
    <t xml:space="preserve">| C ||   A,E   |
| ∅ || a,b,c,d |
</t>
  </si>
  <si>
    <t>| ∅ || A,C,E |
| d || a,b,c |</t>
  </si>
  <si>
    <t>|   A,E   || C |
| a,b,c,d || ∅ |</t>
  </si>
  <si>
    <t>ACE_{t+1}|BCDE_{t}</t>
  </si>
  <si>
    <t xml:space="preserve">| C ||   A,E   |
| ∅ || b,c,d,e |
</t>
  </si>
  <si>
    <t>| C ||   A,E   |
| ∅ || b,c,d,e |</t>
  </si>
  <si>
    <t>|   A,E   || C |
| b,c,d,e || ∅ |</t>
  </si>
  <si>
    <t>ACE_{t+1}|BCD_{t}</t>
  </si>
  <si>
    <t xml:space="preserve">| C ||  A,E  |
| ∅ || b,c,d |
</t>
  </si>
  <si>
    <t>| C ||  A,E  |
| ∅ || b,c,d |</t>
  </si>
  <si>
    <t>|  A,E  || C |
| b,c,d || ∅ |</t>
  </si>
  <si>
    <t>ACE_{t+1}|ACE_{t}</t>
  </si>
  <si>
    <t xml:space="preserve">| C ||  A,E  |
| ∅ || a,c,e |
</t>
  </si>
  <si>
    <t>| E ||  A,C  |
| ∅ || a,c,e |</t>
  </si>
  <si>
    <t>|  A,E  || C |
| a,c,e || ∅ |</t>
  </si>
  <si>
    <t>ACE_{t+1}|BD_{t}</t>
  </si>
  <si>
    <t xml:space="preserve">| C || A,E |
| ∅ || b,d |
</t>
  </si>
  <si>
    <t>| C || A,E |
| ∅ || b,d |</t>
  </si>
  <si>
    <t>| A,E || C |
| b,d || ∅ |</t>
  </si>
  <si>
    <t>ACE_{t+1}|ABDE_{t}</t>
  </si>
  <si>
    <t xml:space="preserve">| A,C,E || ∅ |
| a,b,d || e |
</t>
  </si>
  <si>
    <t>| ∅ || A,C,E |
| e || a,b,d |</t>
  </si>
  <si>
    <t>| A,C,E || ∅ |
| a,b,d || e |</t>
  </si>
  <si>
    <t>BD_{t+1}|ABCDE_{t}</t>
  </si>
  <si>
    <t xml:space="preserve">| D ||     B     |
| ∅ || a,b,c,d,e |
</t>
  </si>
  <si>
    <t>| D ||     B     |
| ∅ || a,b,c,d,e |</t>
  </si>
  <si>
    <t>|     B     || D |
| a,b,c,d,e || ∅ |</t>
  </si>
  <si>
    <t xml:space="preserve">| D ||    B    |
| ∅ || a,b,c,d |
</t>
  </si>
  <si>
    <t>| D ||    B    |
| ∅ || a,b,c,d |</t>
  </si>
  <si>
    <t>|    B    || D |
| a,b,c,d || ∅ |</t>
  </si>
  <si>
    <t>BD_{t+1}|BCDE_{t}</t>
  </si>
  <si>
    <t xml:space="preserve">| D ||    B    |
| ∅ || b,c,d,e |
</t>
  </si>
  <si>
    <t>| D ||    B    |
| ∅ || b,c,d,e |</t>
  </si>
  <si>
    <t>|    B    || D |
| b,c,d,e || ∅ |</t>
  </si>
  <si>
    <t xml:space="preserve">| D ||   B   |
| ∅ || b,c,d |
</t>
  </si>
  <si>
    <t>| D ||   B   |
| ∅ || b,c,d |</t>
  </si>
  <si>
    <t>|   B   || D |
| b,c,d || ∅ |</t>
  </si>
  <si>
    <t>BD_{t+1}|ACE_{t}</t>
  </si>
  <si>
    <t xml:space="preserve">| D ||   B   |
| ∅ || a,c,e |
</t>
  </si>
  <si>
    <t>| D ||   B   |
| ∅ || a,c,e |</t>
  </si>
  <si>
    <t>|   B   || D |
| a,c,e || ∅ |</t>
  </si>
  <si>
    <t>| D ||  B  |
| ∅ || b,d |</t>
  </si>
  <si>
    <t>BD_{t+1}|ABDE_{t}</t>
  </si>
  <si>
    <t xml:space="preserve">| D ||    B    |
| ∅ || a,b,d,e |
</t>
  </si>
  <si>
    <t>| D ||    B    |
| ∅ || a,b,d,e |</t>
  </si>
  <si>
    <t>|    B    || D |
| a,b,d,e || ∅ |</t>
  </si>
  <si>
    <t>ABDE_{t+1}|ABCDE_{t}</t>
  </si>
  <si>
    <t xml:space="preserve">| D ||   A,B,E   |
| ∅ || a,b,c,d,e |
</t>
  </si>
  <si>
    <t>| D ||   A,B,E   |
| ∅ || a,b,c,d,e |</t>
  </si>
  <si>
    <t>|   A,B,E   || D |
| a,b,c,d,e || ∅ |</t>
  </si>
  <si>
    <t>ABDE_{t+1}|ABCD_{t}</t>
  </si>
  <si>
    <t xml:space="preserve">| D ||  A,B,E  |
| ∅ || a,b,c,d |
</t>
  </si>
  <si>
    <t>| D ||  A,B,E  |
| ∅ || a,b,c,d |</t>
  </si>
  <si>
    <t>|  A,B,E  || D |
| a,b,c,d || ∅ |</t>
  </si>
  <si>
    <t>ABDE_{t+1}|BCDE_{t}</t>
  </si>
  <si>
    <t xml:space="preserve">| D ||  A,B,E  |
| ∅ || b,c,d,e |
</t>
  </si>
  <si>
    <t>| D ||  A,B,E  |
| ∅ || b,c,d,e |</t>
  </si>
  <si>
    <t>|  A,B,E  || D |
| b,c,d,e || ∅ |</t>
  </si>
  <si>
    <t>ABDE_{t+1}|BCD_{t}</t>
  </si>
  <si>
    <t xml:space="preserve">| D || A,B,E |
| ∅ || b,c,d |
</t>
  </si>
  <si>
    <t>| D || A,B,E |
| ∅ || b,c,d |</t>
  </si>
  <si>
    <t>| A,B,E || D |
| b,c,d || ∅ |</t>
  </si>
  <si>
    <t>ABDE_{t+1}|ACE_{t}</t>
  </si>
  <si>
    <t xml:space="preserve">| D || A,B,E |
| ∅ || a,c,e |
</t>
  </si>
  <si>
    <t>| E || A,B,D |
| ∅ || a,c,e |</t>
  </si>
  <si>
    <t>| A,B,E || D |
| a,c,e || ∅ |</t>
  </si>
  <si>
    <t>ABDE_{t+1}|BD_{t}</t>
  </si>
  <si>
    <t xml:space="preserve">| B || A,D,E |
| ∅ ||  b,d  |
</t>
  </si>
  <si>
    <t>| D || A,B,E |
| ∅ ||  b,d  |</t>
  </si>
  <si>
    <t>| A,D,E || B |
|  b,d  || ∅ |</t>
  </si>
  <si>
    <t>ABDE_{t+1}|ABDE_{t}</t>
  </si>
  <si>
    <t xml:space="preserve">| D ||  A,B,E  |
| ∅ || a,b,d,e |
</t>
  </si>
  <si>
    <t>| D ||  A,B,E  |
| ∅ || a,b,d,e |</t>
  </si>
  <si>
    <t>|  A,B,E  || D |
| a,b,d,e || ∅ |</t>
  </si>
  <si>
    <t>Sistema candidato: ABCDEF</t>
  </si>
  <si>
    <t>BCDEF_{t+1}|ABCDE_{t}</t>
  </si>
  <si>
    <t xml:space="preserve">| F ||  B,C,D,E  |
| ∅ || a,b,c,d,e |
</t>
  </si>
  <si>
    <t>| F ||  B,C,D,E  |
| ∅ || a,b,c,d,e |</t>
  </si>
  <si>
    <t>|  B,C,D,E  || F |
| a,b,c,d,e || ∅ |</t>
  </si>
  <si>
    <t>ACDF_{t+1}|ABCDEF_{t}</t>
  </si>
  <si>
    <t xml:space="preserve">| D ||    A,C,F    |
| ∅ || a,b,c,d,e,f |
</t>
  </si>
  <si>
    <t>| D ||    A,C,F    |
| ∅ || a,b,c,d,e,f |</t>
  </si>
  <si>
    <t>|    A,C,F    || D |
| a,b,c,d,e,f || ∅ |</t>
  </si>
  <si>
    <t>ACDE_{t+1}|ABCDEF_{t}</t>
  </si>
  <si>
    <t xml:space="preserve">|  A,C,D,E  || ∅ |
| a,b,c,d,e || f |
</t>
  </si>
  <si>
    <t>| ∅ ||  A,C,D,E  |
| f || a,b,c,d,e |</t>
  </si>
  <si>
    <t>|  A,C,D,E  || ∅ |
| a,b,c,d,e || f |</t>
  </si>
  <si>
    <t>ACDEF_{t+1}|BCDEF_{t}</t>
  </si>
  <si>
    <t xml:space="preserve">| A ||  C,D,E,F  |
| ∅ || b,c,d,e,f |
</t>
  </si>
  <si>
    <t>| A ||  C,D,E,F  |
| ∅ || b,c,d,e,f |</t>
  </si>
  <si>
    <t>|  C,D,E,F  || A |
| b,c,d,e,f || ∅ |</t>
  </si>
  <si>
    <t>ACDEF_{t+1}|ACDEF_{t}</t>
  </si>
  <si>
    <t xml:space="preserve">| A ||  C,D,E,F  |
| ∅ || a,c,d,e,f |
</t>
  </si>
  <si>
    <t>| C ||  A,D,E,F  |
| ∅ || a,c,d,e,f |</t>
  </si>
  <si>
    <t>|  C,D,E,F  || A |
| a,c,d,e,f || ∅ |</t>
  </si>
  <si>
    <t>ACDEF_{t+1}|ABDEF_{t}</t>
  </si>
  <si>
    <t xml:space="preserve">| D,E ||  A,C,F  |
|  b  || a,d,e,f |
</t>
  </si>
  <si>
    <t>| ∅ || A,C,D,E,F |
| f ||  a,b,d,e  |</t>
  </si>
  <si>
    <t>| A,C,D,E,F || ∅ |
|  a,b,d,e  || f |</t>
  </si>
  <si>
    <t>ACDEF_{t+1}|ABCEF_{t}</t>
  </si>
  <si>
    <t xml:space="preserve">| C ||  A,D,E,F  |
| ∅ || a,b,c,e,f |
</t>
  </si>
  <si>
    <t>| C ||  A,D,E,F  |
| ∅ || a,b,c,e,f |</t>
  </si>
  <si>
    <t>|  A,D,E,F  || C |
| a,b,c,e,f || ∅ |</t>
  </si>
  <si>
    <t>ACDEF_{t+1}|ABCDF_{t}</t>
  </si>
  <si>
    <t xml:space="preserve">| C ||  A,D,E,F  |
| ∅ || a,b,c,d,f |
</t>
  </si>
  <si>
    <t>| C ||  A,D,E,F  |
| ∅ || a,b,c,d,f |</t>
  </si>
  <si>
    <t>|  A,D,E,F  || C |
| a,b,c,d,f || ∅ |</t>
  </si>
  <si>
    <t>ACDEF_{t+1}|ABCDE_{t}</t>
  </si>
  <si>
    <t xml:space="preserve">| F ||  A,C,D,E  |
| ∅ || a,b,c,d,e |
</t>
  </si>
  <si>
    <t>| F ||  A,C,D,E  |
| ∅ || a,b,c,d,e |</t>
  </si>
  <si>
    <t>|  A,C,D,E  || F |
| a,b,c,d,e || ∅ |</t>
  </si>
  <si>
    <t>ABEF_{t+1}|ABCDEF_{t}</t>
  </si>
  <si>
    <t xml:space="preserve">| E ||    A,B,F    |
| ∅ || a,b,c,d,e,f |
</t>
  </si>
  <si>
    <t>| E ||    A,B,F    |
| ∅ || a,b,c,d,e,f |</t>
  </si>
  <si>
    <t>|    A,B,F    || E |
| a,b,c,d,e,f || ∅ |</t>
  </si>
  <si>
    <t>ABDF_{t+1}|ABCDEF_{t}</t>
  </si>
  <si>
    <t xml:space="preserve">| D ||    A,B,F    |
| ∅ || a,b,c,d,e,f |
</t>
  </si>
  <si>
    <t>| D ||    A,B,F    |
| ∅ || a,b,c,d,e,f |</t>
  </si>
  <si>
    <t>|    A,B,F    || D |
| a,b,c,d,e,f || ∅ |</t>
  </si>
  <si>
    <t>ABDE_{t+1}|ABCDEF_{t}</t>
  </si>
  <si>
    <t xml:space="preserve">| D ||    A,B,E    |
| ∅ || a,b,c,d,e,f |
</t>
  </si>
  <si>
    <t>| D ||    A,B,E    |
| ∅ || a,b,c,d,e,f |</t>
  </si>
  <si>
    <t>|    A,B,E    || D |
| a,b,c,d,e,f || ∅ |</t>
  </si>
  <si>
    <t>ABDEF_{t+1}|BCDEF_{t}</t>
  </si>
  <si>
    <t xml:space="preserve">| A ||  B,D,E,F  |
| ∅ || b,c,d,e,f |
</t>
  </si>
  <si>
    <t>| A ||  B,D,E,F  |
| ∅ || b,c,d,e,f |</t>
  </si>
  <si>
    <t>|  B,D,E,F  || A |
| b,c,d,e,f || ∅ |</t>
  </si>
  <si>
    <t>ABDEF_{t+1}|ACDEF_{t}</t>
  </si>
  <si>
    <t xml:space="preserve">| A ||  B,D,E,F  |
| ∅ || a,c,d,e,f |
</t>
  </si>
  <si>
    <t>| A ||  B,D,E,F  |
| ∅ || a,c,d,e,f |</t>
  </si>
  <si>
    <t>|  B,D,E,F  || A |
| a,c,d,e,f || ∅ |</t>
  </si>
  <si>
    <t>ABDEF_{t+1}|ABDEF_{t}</t>
  </si>
  <si>
    <t xml:space="preserve">| A,B,D,E,F || ∅ |
|  a,b,d,e  || f |
</t>
  </si>
  <si>
    <t>| ∅ || A,B,D,E,F |
| f ||  a,b,d,e  |</t>
  </si>
  <si>
    <t>| A,B,D,E,F || ∅ |
|  a,b,d,e  || f |</t>
  </si>
  <si>
    <t>ABDEF_{t+1}|ABCEF_{t}</t>
  </si>
  <si>
    <t xml:space="preserve">| E ||  A,B,D,F  |
| ∅ || a,b,c,e,f |
</t>
  </si>
  <si>
    <t>| F ||  A,B,D,E  |
| ∅ || a,b,c,e,f |</t>
  </si>
  <si>
    <t>|  A,B,D,F  || E |
| a,b,c,e,f || ∅ |</t>
  </si>
  <si>
    <t>ABDEF_{t+1}|ABCDF_{t}</t>
  </si>
  <si>
    <t xml:space="preserve">| D ||  A,B,E,F  |
| ∅ || a,b,c,d,f |
</t>
  </si>
  <si>
    <t>| D ||  A,B,E,F  |
| ∅ || a,b,c,d,f |</t>
  </si>
  <si>
    <t>|  A,B,E,F  || D |
| a,b,c,d,f || ∅ |</t>
  </si>
  <si>
    <t>ABDEF_{t+1}|ABCDE_{t}</t>
  </si>
  <si>
    <t xml:space="preserve">| F ||  A,B,D,E  |
| ∅ || a,b,c,d,e |
</t>
  </si>
  <si>
    <t>| F ||  A,B,D,E  |
| ∅ || a,b,c,d,e |</t>
  </si>
  <si>
    <t>|  A,B,D,E  || F |
| a,b,c,d,e || ∅ |</t>
  </si>
  <si>
    <t>ABCF_{t+1}|ABCDEF_{t}</t>
  </si>
  <si>
    <t xml:space="preserve">| C ||    A,B,F    |
| ∅ || a,b,c,d,e,f |
</t>
  </si>
  <si>
    <t>| C ||    A,B,F    |
| ∅ || a,b,c,d,e,f |</t>
  </si>
  <si>
    <t>|    A,B,F    || C |
| a,b,c,d,e,f || ∅ |</t>
  </si>
  <si>
    <t>ABCE_{t+1}|ABCDEF_{t}</t>
  </si>
  <si>
    <t xml:space="preserve">| E ||    A,B,C    |
| ∅ || a,b,c,d,e,f |
</t>
  </si>
  <si>
    <t>| E ||    A,B,C    |
| ∅ || a,b,c,d,e,f |</t>
  </si>
  <si>
    <t>|    A,B,C    || E |
| a,b,c,d,e,f || ∅ |</t>
  </si>
  <si>
    <t>ABCEF_{t+1}|BCDEF_{t}</t>
  </si>
  <si>
    <t xml:space="preserve">| A ||  B,C,E,F  |
| ∅ || b,c,d,e,f |
</t>
  </si>
  <si>
    <t>| A ||  B,C,E,F  |
| ∅ || b,c,d,e,f |</t>
  </si>
  <si>
    <t>|  B,C,E,F  || A |
| b,c,d,e,f || ∅ |</t>
  </si>
  <si>
    <t>ABCEF_{t+1}|ACDEF_{t}</t>
  </si>
  <si>
    <t xml:space="preserve">| A ||  B,C,E,F  |
| ∅ || a,c,d,e,f |
</t>
  </si>
  <si>
    <t>| C ||  A,B,E,F  |
| ∅ || a,c,d,e,f |</t>
  </si>
  <si>
    <t>|  B,C,E,F  || A |
| a,c,d,e,f || ∅ |</t>
  </si>
  <si>
    <t>ACEF_{t+1}|ABCDEF_{t}</t>
  </si>
  <si>
    <t xml:space="preserve">| C ||   A,E,F   |
| e || a,b,c,d,f |
</t>
  </si>
  <si>
    <t>| C ||   A,E,F   |
| e || a,b,c,d,f |</t>
  </si>
  <si>
    <t>|   A,E,F   || C |
| a,b,c,d,f || e |</t>
  </si>
  <si>
    <t>ADEF_{t+1}|ABCDEF_{t}</t>
  </si>
  <si>
    <t xml:space="preserve">| D ||    A,E,F    |
| ∅ || a,b,c,d,e,f |
</t>
  </si>
  <si>
    <t>| D ||    A,E,F    |
| ∅ || a,b,c,d,e,f |</t>
  </si>
  <si>
    <t>|    A,E,F    || D |
| a,b,c,d,e,f || ∅ |</t>
  </si>
  <si>
    <t>ABCEF_{t+1}|ABCEF_{t}</t>
  </si>
  <si>
    <t xml:space="preserve">| C ||  A,B,E,F  |
| ∅ || a,b,c,e,f |
</t>
  </si>
  <si>
    <t>| C ||  A,B,E,F  |
| ∅ || a,b,c,e,f |</t>
  </si>
  <si>
    <t>|  A,B,E,F  || C |
| a,b,c,e,f || ∅ |</t>
  </si>
  <si>
    <t>BCDEF_{t+1}|ABCDF_{t}</t>
  </si>
  <si>
    <t xml:space="preserve">| C ||  B,D,E,F  |
| ∅ || a,b,c,d,f |
</t>
  </si>
  <si>
    <t>| C ||  B,D,E,F  |
| ∅ || a,b,c,d,f |</t>
  </si>
  <si>
    <t>|  B,D,E,F  || C |
| a,b,c,d,f || ∅ |</t>
  </si>
  <si>
    <t>ABCDEF_{t+1}|BCDEF_{t}</t>
  </si>
  <si>
    <t xml:space="preserve">| A || B,C,D,E,F |
| ∅ || b,c,d,e,f |
</t>
  </si>
  <si>
    <t>| A || B,C,D,E,F |
| ∅ || b,c,d,e,f |</t>
  </si>
  <si>
    <t>| B,C,D,E,F || A |
| b,c,d,e,f || ∅ |</t>
  </si>
  <si>
    <t>ABCDEF_{t+1}|ACDEF_{t}</t>
  </si>
  <si>
    <t xml:space="preserve">| A || B,C,D,E,F |
| ∅ || a,c,d,e,f |
</t>
  </si>
  <si>
    <t>| C || A,B,D,E,F |
| ∅ || a,c,d,e,f |</t>
  </si>
  <si>
    <t>| B,C,D,E,F || A |
| a,c,d,e,f || ∅ |</t>
  </si>
  <si>
    <t>ABDEF_{t+1}|ABCDEF_{t}</t>
  </si>
  <si>
    <t xml:space="preserve">| D ||   A,B,E,F   |
| ∅ || a,b,c,d,e,f |
</t>
  </si>
  <si>
    <t>| D ||   A,B,E,F   |
| ∅ || a,b,c,d,e,f |</t>
  </si>
  <si>
    <t>|   A,B,E,F   || D |
| a,b,c,d,e,f || ∅ |</t>
  </si>
  <si>
    <t>ABCDEF_{t+1}|ABCEF_{t}</t>
  </si>
  <si>
    <t xml:space="preserve">| C || A,B,D,E,F |
| ∅ || a,b,c,e,f |
</t>
  </si>
  <si>
    <t>| C || A,B,D,E,F |
| ∅ || a,b,c,e,f |</t>
  </si>
  <si>
    <t>| A,B,D,E,F || C |
| a,b,c,e,f || ∅ |</t>
  </si>
  <si>
    <t>ABCDE_{t+1}|ABCDEF_{t}</t>
  </si>
  <si>
    <t xml:space="preserve">| D ||   A,B,C,E   |
| ∅ || a,b,c,d,e,f |
</t>
  </si>
  <si>
    <t>| D ||   A,B,C,E   |
| ∅ || a,b,c,d,e,f |</t>
  </si>
  <si>
    <t>|   A,B,C,E   || D |
| a,b,c,d,e,f || ∅ |</t>
  </si>
  <si>
    <t>ABCDF_{t+1}|ABCDEF_{t}</t>
  </si>
  <si>
    <t xml:space="preserve">| D ||   A,B,C,F   |
| ∅ || a,b,c,d,e,f |
</t>
  </si>
  <si>
    <t>| D ||   A,B,C,F   |
| ∅ || a,b,c,d,e,f |</t>
  </si>
  <si>
    <t>|   A,B,C,F   || D |
| a,b,c,d,e,f || ∅ |</t>
  </si>
  <si>
    <t>ACDEF_{t+1}|ABCDEF_{t}</t>
  </si>
  <si>
    <t xml:space="preserve">| D ||   A,C,E,F   |
| ∅ || a,b,c,d,e,f |
</t>
  </si>
  <si>
    <t>| D ||   A,C,E,F   |
| ∅ || a,b,c,d,e,f |</t>
  </si>
  <si>
    <t>|   A,C,E,F   || D |
| a,b,c,d,e,f || ∅ |</t>
  </si>
  <si>
    <t>BCDEF_{t+1}|ABCDEF_{t}</t>
  </si>
  <si>
    <t xml:space="preserve">| D ||   B,C,E,F   |
| ∅ || a,b,c,d,e,f |
</t>
  </si>
  <si>
    <t>| D ||   B,C,E,F   |
| ∅ || a,b,c,d,e,f |</t>
  </si>
  <si>
    <t>|   B,C,E,F   || D |
| a,b,c,d,e,f || ∅ |</t>
  </si>
  <si>
    <t>ABCEF_{t+1}|ABCDEF_{t}</t>
  </si>
  <si>
    <t xml:space="preserve">| E ||   A,B,C,F   |
| ∅ || a,b,c,d,e,f |
</t>
  </si>
  <si>
    <t>| E ||   A,B,C,F   |
| ∅ || a,b,c,d,e,f |</t>
  </si>
  <si>
    <t>|   A,B,C,F   || E |
| a,b,c,d,e,f || ∅ |</t>
  </si>
  <si>
    <t>ABCDEF_{t+1}|ABCDF_{t}</t>
  </si>
  <si>
    <t xml:space="preserve">| C || A,B,D,E,F |
| ∅ || a,b,c,d,f |
</t>
  </si>
  <si>
    <t>| C || A,B,D,E,F |
| ∅ || a,b,c,d,f |</t>
  </si>
  <si>
    <t>| A,B,D,E,F || C |
| a,b,c,d,f || ∅ |</t>
  </si>
  <si>
    <t>ABCDEF_{t+1}|ABDEF_{t}</t>
  </si>
  <si>
    <t xml:space="preserve">| A,B,C,D,E,F || ∅ |
|   a,b,d,e   || f |
</t>
  </si>
  <si>
    <t>| ∅ || A,B,C,D,E,F |
| f ||   a,b,d,e   |</t>
  </si>
  <si>
    <t>| A,B,C,D,E,F || ∅ |
|   a,b,d,e   || f |</t>
  </si>
  <si>
    <t>ABCDEF_{t+1}|ABCDE_{t}</t>
  </si>
  <si>
    <t xml:space="preserve">| F || A,B,C,D,E |
| ∅ || a,b,c,d,e |
</t>
  </si>
  <si>
    <t>| F || A,B,C,D,E |
| ∅ || a,b,c,d,e |</t>
  </si>
  <si>
    <t>| A,B,C,D,E || F |
| a,b,c,d,e || ∅ |</t>
  </si>
  <si>
    <t>ABCDEF_{t+1}|ABCDEF_{t}</t>
  </si>
  <si>
    <t xml:space="preserve">| D ||  A,B,C,E,F  |
| ∅ || a,b,c,d,e,f |
</t>
  </si>
  <si>
    <t>| D ||  A,B,C,E,F  |
| ∅ || a,b,c,d,e,f |</t>
  </si>
  <si>
    <t>|  A,B,C,E,F  || D |
| a,b,c,d,e,f || ∅ |</t>
  </si>
  <si>
    <t>Sistema candidato: ABCDEFGH</t>
  </si>
  <si>
    <t xml:space="preserve">EstrategiaQ </t>
  </si>
  <si>
    <t>ABCDEFGH_{t+1}|ABCDEFGH_{t}</t>
  </si>
  <si>
    <t xml:space="preserve">| H || A,B,C,D,E,F,G |
| a || b,c,d,e,f,g,h |
</t>
  </si>
  <si>
    <t>| A || B,C,D,E,F,G,H |
| h || a,b,c,d,e,f,g |</t>
  </si>
  <si>
    <t>| A,B,C,D,E,F,G || H |
| b,c,d,e,f,g,h || a |</t>
  </si>
  <si>
    <t>ABCDEFGH_{t+1}|ABCDEFG_{t}</t>
  </si>
  <si>
    <t xml:space="preserve">| A || B,C,D,E,F,G,H |
| ∅ || a,b,c,d,e,f,g |
</t>
  </si>
  <si>
    <t>| A || B,C,D,E,F,G,H |
| ∅ || a,b,c,d,e,f,g |</t>
  </si>
  <si>
    <t>| B,C,D,E,F,G,H || A |
| a,b,c,d,e,f,g || ∅ |</t>
  </si>
  <si>
    <t>ABCDEFGH_{t+1}|BCDEFGH_{t}</t>
  </si>
  <si>
    <t xml:space="preserve">| H || A,B,C,D,E,F,G |
| ∅ || b,c,d,e,f,g,h |
</t>
  </si>
  <si>
    <t>| H || A,B,C,D,E,F,G |
| ∅ || b,c,d,e,f,g,h |</t>
  </si>
  <si>
    <t>| A,B,C,D,E,F,G || H |
| b,c,d,e,f,g,h || ∅ |</t>
  </si>
  <si>
    <t>ABCDEFGH_{t+1}|BCDEFG_{t}</t>
  </si>
  <si>
    <t xml:space="preserve">| A || B,C,D,E,F,G,H |
| ∅ ||  b,c,d,e,f,g  |
</t>
  </si>
  <si>
    <t>| H || A,B,C,D,E,F,G |
| ∅ ||  b,c,d,e,f,g  |</t>
  </si>
  <si>
    <t>| B,C,D,E,F,G,H || A |
|  b,c,d,e,f,g  || ∅ |</t>
  </si>
  <si>
    <t>ABCDEFGH_{t+1}|ACEG_{t}</t>
  </si>
  <si>
    <t xml:space="preserve">| A || B,C,D,E,F,G,H |
| ∅ ||    a,c,e,g    |
</t>
  </si>
  <si>
    <t>| G || A,B,C,D,E,F,H |
| ∅ ||    a,c,e,g    |</t>
  </si>
  <si>
    <t>| B,C,D,E,F,G,H || A |
|    a,c,e,g    || ∅ |</t>
  </si>
  <si>
    <t>ABCDEFGH_{t+1}|BDFH_{t}</t>
  </si>
  <si>
    <t xml:space="preserve">| B || A,C,D,E,F,G,H |
| ∅ ||    b,d,f,h    |
</t>
  </si>
  <si>
    <t>| H || A,B,C,D,E,F,G |
| ∅ ||    b,d,f,h    |</t>
  </si>
  <si>
    <t>| A,C,D,E,F,G,H || B |
|    b,d,f,h    || ∅ |</t>
  </si>
  <si>
    <t>ABCDEFGH_{t+1}|ABDEGH_{t}</t>
  </si>
  <si>
    <t xml:space="preserve">| C || A,B,D,E,F,G,H |
| ∅ ||  a,b,d,e,g,h  |
</t>
  </si>
  <si>
    <t>| F || A,B,C,D,E,G,H |
| ∅ ||  a,b,d,e,g,h  |</t>
  </si>
  <si>
    <t>| A,B,D,E,F,G,H || C |
|  a,b,d,e,g,h  || ∅ |</t>
  </si>
  <si>
    <t>ABCDEFG_{t+1}|ABCDEFGH_{t}</t>
  </si>
  <si>
    <t xml:space="preserve">| ∅ || A,B,C,D,E,F,G |
| a || b,c,d,e,f,g,h |
</t>
  </si>
  <si>
    <t>| A ||  B,C,D,E,F,G  |
| h || a,b,c,d,e,f,g |</t>
  </si>
  <si>
    <t>| A,B,C,D,E,F,G || ∅ |
| b,c,d,e,f,g,h || a |</t>
  </si>
  <si>
    <t>ABCDEFG_{t+1}|ABCDEFG_{t}</t>
  </si>
  <si>
    <t xml:space="preserve">| A ||  B,C,D,E,F,G  |
| ∅ || a,b,c,d,e,f,g |
</t>
  </si>
  <si>
    <t>| A ||  B,C,D,E,F,G  |
| ∅ || a,b,c,d,e,f,g |</t>
  </si>
  <si>
    <t>|  B,C,D,E,F,G  || A |
| a,b,c,d,e,f,g || ∅ |</t>
  </si>
  <si>
    <t>ABCDEFG_{t+1}|BCDEFGH_{t}</t>
  </si>
  <si>
    <t xml:space="preserve">| G || A,B,C,D,E,F |
| b || c,d,e,f,g,h |
</t>
  </si>
  <si>
    <t>| A || B,C,D,E,F,G |
| h || b,c,d,e,f,g |</t>
  </si>
  <si>
    <t>| A,B,C,D,E,F || G |
| c,d,e,f,g,h || b |</t>
  </si>
  <si>
    <t>ABCDEFG_{t+1}|BCDEFG_{t}</t>
  </si>
  <si>
    <t xml:space="preserve">| A || B,C,D,E,F,G |
| ∅ || b,c,d,e,f,g |
</t>
  </si>
  <si>
    <t>| A || B,C,D,E,F,G |
| ∅ || b,c,d,e,f,g |</t>
  </si>
  <si>
    <t>| B,C,D,E,F,G || A |
| b,c,d,e,f,g || ∅ |</t>
  </si>
  <si>
    <t>ABCDEFG_{t+1}|ACEG_{t}</t>
  </si>
  <si>
    <t xml:space="preserve">| A || B,C,D,E,F,G |
| ∅ ||   a,c,e,g   |
</t>
  </si>
  <si>
    <t>| G || A,B,C,D,E,F |
| ∅ ||   a,c,e,g   |</t>
  </si>
  <si>
    <t>| B,C,D,E,F,G || A |
|   a,c,e,g   || ∅ |</t>
  </si>
  <si>
    <t>ABCDEFG_{t+1}|BDFH_{t}</t>
  </si>
  <si>
    <t xml:space="preserve">| B || A,C,D,E,F,G |
| ∅ ||   b,d,f,h   |
</t>
  </si>
  <si>
    <t>| F || A,B,C,D,E,G |
| ∅ ||   b,d,f,h   |</t>
  </si>
  <si>
    <t>| A,C,D,E,F,G || B |
|   b,d,f,h   || ∅ |</t>
  </si>
  <si>
    <t>ABCDEFG_{t+1}|ABDEGH_{t}</t>
  </si>
  <si>
    <t xml:space="preserve">| C || A,B,D,E,F,G |
| ∅ || a,b,d,e,g,h |
</t>
  </si>
  <si>
    <t>| F || A,B,C,D,E,G |
| ∅ || a,b,d,e,g,h |</t>
  </si>
  <si>
    <t>| A,B,D,E,F,G || C |
| a,b,d,e,g,h || ∅ |</t>
  </si>
  <si>
    <t>BCDEFGH_{t+1}|ABCDEFGH_{t}</t>
  </si>
  <si>
    <t xml:space="preserve">| H ||  B,C,D,E,F,G  |
| a || b,c,d,e,f,g,h |
</t>
  </si>
  <si>
    <t>| ∅ || B,C,D,E,F,G,H |
| h || a,b,c,d,e,f,g |</t>
  </si>
  <si>
    <t>|  B,C,D,E,F,G  || H |
| b,c,d,e,f,g,h || a |</t>
  </si>
  <si>
    <t>BCDEFGH_{t+1}|ABCDEFG_{t}</t>
  </si>
  <si>
    <t xml:space="preserve">| H || B,C,D,E,F,G |
| a || b,c,d,e,f,g |
</t>
  </si>
  <si>
    <t>| B || C,D,E,F,G,H |
| g || a,b,c,d,e,f |</t>
  </si>
  <si>
    <t>| B,C,D,E,F,G || H |
| b,c,d,e,f,g || a |</t>
  </si>
  <si>
    <t>BCDEFGH_{t+1}|BCDEFGH_{t}</t>
  </si>
  <si>
    <t xml:space="preserve">| H ||  B,C,D,E,F,G  |
| ∅ || b,c,d,e,f,g,h |
</t>
  </si>
  <si>
    <t>| H ||  B,C,D,E,F,G  |
| ∅ || b,c,d,e,f,g,h |</t>
  </si>
  <si>
    <t>|  B,C,D,E,F,G  || H |
| b,c,d,e,f,g,h || ∅ |</t>
  </si>
  <si>
    <t>BCDEFGH_{t+1}|BCDEFG_{t}</t>
  </si>
  <si>
    <t xml:space="preserve">| H || B,C,D,E,F,G |
| ∅ || b,c,d,e,f,g |
</t>
  </si>
  <si>
    <t>| H || B,C,D,E,F,G |
| ∅ || b,c,d,e,f,g |</t>
  </si>
  <si>
    <t>| B,C,D,E,F,G || H |
| b,c,d,e,f,g || ∅ |</t>
  </si>
  <si>
    <t>BCDEFGH_{t+1}|ACEG_{t}</t>
  </si>
  <si>
    <t xml:space="preserve">| C || B,D,E,F,G,H |
| ∅ ||   a,c,e,g   |
</t>
  </si>
  <si>
    <t>| G || B,C,D,E,F,H |
| ∅ ||   a,c,e,g   |</t>
  </si>
  <si>
    <t>| B,D,E,F,G,H || C |
|   a,c,e,g   || ∅ |</t>
  </si>
  <si>
    <t>BCDEFGH_{t+1}|BDFH_{t}</t>
  </si>
  <si>
    <t xml:space="preserve">| B || C,D,E,F,G,H |
| ∅ ||   b,d,f,h   |
</t>
  </si>
  <si>
    <t>| H || B,C,D,E,F,G |
| ∅ ||   b,d,f,h   |</t>
  </si>
  <si>
    <t>| C,D,E,F,G,H || B |
|   b,d,f,h   || ∅ |</t>
  </si>
  <si>
    <t>BCDEFGH_{t+1}|ABDEGH_{t}</t>
  </si>
  <si>
    <t xml:space="preserve">| C || B,D,E,F,G,H |
| ∅ || a,b,d,e,g,h |
</t>
  </si>
  <si>
    <t>| F || B,C,D,E,G,H |
| ∅ || a,b,d,e,g,h |</t>
  </si>
  <si>
    <t>| B,D,E,F,G,H || C |
| a,b,d,e,g,h || ∅ |</t>
  </si>
  <si>
    <t>BCDEFG_{t+1}|ABCDEFGH_{t}</t>
  </si>
  <si>
    <t xml:space="preserve">| ∅ ||  B,C,D,E,F,G  |
| a || b,c,d,e,f,g,h |
</t>
  </si>
  <si>
    <t>| ∅ ||  B,C,D,E,F,G  |
| h || a,b,c,d,e,f,g |</t>
  </si>
  <si>
    <t>|  B,C,D,E,F,G  || ∅ |
| b,c,d,e,f,g,h || a |</t>
  </si>
  <si>
    <t>BCDEFG_{t+1}|ABCDEFG_{t}</t>
  </si>
  <si>
    <t xml:space="preserve">| ∅ || B,C,D,E,F,G |
| a || b,c,d,e,f,g |
</t>
  </si>
  <si>
    <t>| B ||  C,D,E,F,G  |
| g || a,b,c,d,e,f |</t>
  </si>
  <si>
    <t>| B,C,D,E,F,G || ∅ |
| b,c,d,e,f,g || a |</t>
  </si>
  <si>
    <t>BCDEFG_{t+1}|BCDEFGH_{t}</t>
  </si>
  <si>
    <t xml:space="preserve">| G ||  B,C,D,E,F  |
| b || c,d,e,f,g,h |
</t>
  </si>
  <si>
    <t>| ∅ || B,C,D,E,F,G |
| h || b,c,d,e,f,g |</t>
  </si>
  <si>
    <t>|  B,C,D,E,F  || G |
| c,d,e,f,g,h || b |</t>
  </si>
  <si>
    <t>BCDEFG_{t+1}|BCDEFG_{t}</t>
  </si>
  <si>
    <t xml:space="preserve">| G || B,C,D,E,F |
| b || c,d,e,f,g |
</t>
  </si>
  <si>
    <t>| B || C,D,E,F,G |
| g || b,c,d,e,f |</t>
  </si>
  <si>
    <t>| B,C,D,E,F || G |
| c,d,e,f,g || b |</t>
  </si>
  <si>
    <t>BCDEFG_{t+1}|ACEG_{t}</t>
  </si>
  <si>
    <t xml:space="preserve">| C || B,D,E,F,G |
| ∅ ||  a,c,e,g  |
</t>
  </si>
  <si>
    <t>| G || B,C,D,E,F |
| ∅ ||  a,c,e,g  |</t>
  </si>
  <si>
    <t>| B,D,E,F,G || C |
|  a,c,e,g  || ∅ |</t>
  </si>
  <si>
    <t>BCDEFG_{t+1}|BDFH_{t}</t>
  </si>
  <si>
    <t xml:space="preserve">| B || C,D,E,F,G |
| ∅ ||  b,d,f,h  |
</t>
  </si>
  <si>
    <t>| F || B,C,D,E,G |
| ∅ ||  b,d,f,h  |</t>
  </si>
  <si>
    <t>| C,D,E,F,G || B |
|  b,d,f,h  || ∅ |</t>
  </si>
  <si>
    <t>BCDEFG_{t+1}|ABDEGH_{t}</t>
  </si>
  <si>
    <t xml:space="preserve">| C ||  B,D,E,F,G  |
| ∅ || a,b,d,e,g,h |
</t>
  </si>
  <si>
    <t>| F ||  B,C,D,E,G  |
| ∅ || a,b,d,e,g,h |</t>
  </si>
  <si>
    <t>|  B,D,E,F,G  || C |
| a,b,d,e,g,h || ∅ |</t>
  </si>
  <si>
    <t>ACEG_{t+1}|ABCDEFGH_{t}</t>
  </si>
  <si>
    <t xml:space="preserve">| ∅ ||    A,C,E,G    |
| a || b,c,d,e,f,g,h |
</t>
  </si>
  <si>
    <t>| A ||     C,E,G     |
| h || a,b,c,d,e,f,g |</t>
  </si>
  <si>
    <t>|    A,C,E,G    || ∅ |
| b,c,d,e,f,g,h || a |</t>
  </si>
  <si>
    <t>ACEG_{t+1}|ABCDEFG_{t}</t>
  </si>
  <si>
    <t xml:space="preserve">| A ||     C,E,G     |
| ∅ || a,b,c,d,e,f,g |
</t>
  </si>
  <si>
    <t>| A ||     C,E,G     |
| ∅ || a,b,c,d,e,f,g |</t>
  </si>
  <si>
    <t>|     C,E,G     || A |
| a,b,c,d,e,f,g || ∅ |</t>
  </si>
  <si>
    <t>ACEG_{t+1}|BCDEFGH_{t}</t>
  </si>
  <si>
    <t xml:space="preserve">| G ||    A,C,E    |
| b || c,d,e,f,g,h |
</t>
  </si>
  <si>
    <t>| A ||    C,E,G    |
| h || b,c,d,e,f,g |</t>
  </si>
  <si>
    <t>|    A,C,E    || G |
| c,d,e,f,g,h || b |</t>
  </si>
  <si>
    <t>ACEG_{t+1}|BCDEFG_{t}</t>
  </si>
  <si>
    <t xml:space="preserve">| A ||    C,E,G    |
| ∅ || b,c,d,e,f,g |
</t>
  </si>
  <si>
    <t>| A ||    C,E,G    |
| ∅ || b,c,d,e,f,g |</t>
  </si>
  <si>
    <t>|    C,E,G    || A |
| b,c,d,e,f,g || ∅ |</t>
  </si>
  <si>
    <t>ACEG_{t+1}|ACEG_{t}</t>
  </si>
  <si>
    <t xml:space="preserve">| A ||  C,E,G  |
| ∅ || a,c,e,g |
</t>
  </si>
  <si>
    <t>| G ||  A,C,E  |
| ∅ || a,c,e,g |</t>
  </si>
  <si>
    <t>|  C,E,G  || A |
| a,c,e,g || ∅ |</t>
  </si>
  <si>
    <t>ACEG_{t+1}|BDFH_{t}</t>
  </si>
  <si>
    <t xml:space="preserve">| G || A,C,E |
| b || d,f,h |
</t>
  </si>
  <si>
    <t>| A || C,E,G |
| h || b,d,f |</t>
  </si>
  <si>
    <t>| A,C,E || G |
| d,f,h || b |</t>
  </si>
  <si>
    <t>ACEG_{t+1}|ABDEGH_{t}</t>
  </si>
  <si>
    <t xml:space="preserve">| C ||    A,E,G    |
| ∅ || a,b,d,e,g,h |
</t>
  </si>
  <si>
    <t>| C ||    A,E,G    |
| ∅ || a,b,d,e,g,h |</t>
  </si>
  <si>
    <t>|    A,E,G    || C |
| a,b,d,e,g,h || ∅ |</t>
  </si>
  <si>
    <t>BDFH_{t+1}|ABCDEFGH_{t}</t>
  </si>
  <si>
    <t xml:space="preserve">| H ||     B,D,F     |
| a || b,c,d,e,f,g,h |
</t>
  </si>
  <si>
    <t>| ∅ ||    B,D,F,H    |
| h || a,b,c,d,e,f,g |</t>
  </si>
  <si>
    <t>|     B,D,F     || H |
| b,c,d,e,f,g,h || a |</t>
  </si>
  <si>
    <t>BDFH_{t+1}|ABCDEFG_{t}</t>
  </si>
  <si>
    <t xml:space="preserve">| H ||    B,D,F    |
| a || b,c,d,e,f,g |
</t>
  </si>
  <si>
    <t>| B ||    D,F,H    |
| g || a,b,c,d,e,f |</t>
  </si>
  <si>
    <t>|    B,D,F    || H |
| b,c,d,e,f,g || a |</t>
  </si>
  <si>
    <t>BDFH_{t+1}|BCDEFGH_{t}</t>
  </si>
  <si>
    <t xml:space="preserve">| H ||     B,D,F     |
| ∅ || b,c,d,e,f,g,h |
</t>
  </si>
  <si>
    <t>| H ||     B,D,F     |
| ∅ || b,c,d,e,f,g,h |</t>
  </si>
  <si>
    <t>|     B,D,F     || H |
| b,c,d,e,f,g,h || ∅ |</t>
  </si>
  <si>
    <t>BDFH_{t+1}|BCDEFG_{t}</t>
  </si>
  <si>
    <t xml:space="preserve">| H ||    B,D,F    |
| ∅ || b,c,d,e,f,g |
</t>
  </si>
  <si>
    <t>| H ||    B,D,F    |
| ∅ || b,c,d,e,f,g |</t>
  </si>
  <si>
    <t>|    B,D,F    || H |
| b,c,d,e,f,g || ∅ |</t>
  </si>
  <si>
    <t>BDFH_{t+1}|ACEG_{t}</t>
  </si>
  <si>
    <t xml:space="preserve">| H || B,D,F |
| a || c,e,g |
</t>
  </si>
  <si>
    <t>| B || D,F,H |
| g || a,c,e |</t>
  </si>
  <si>
    <t>| B,D,F || H |
| c,e,g || a |</t>
  </si>
  <si>
    <t>BDFH_{t+1}|BDFH_{t}</t>
  </si>
  <si>
    <t xml:space="preserve">| B ||  D,F,H  |
| ∅ || b,d,f,h |
</t>
  </si>
  <si>
    <t>| H ||  B,D,F  |
| ∅ || b,d,f,h |</t>
  </si>
  <si>
    <t>|  D,F,H  || B |
| b,d,f,h || ∅ |</t>
  </si>
  <si>
    <t>BDFH_{t+1}|ABDEGH_{t}</t>
  </si>
  <si>
    <t xml:space="preserve">| F ||    B,D,H    |
| ∅ || a,b,d,e,g,h |
</t>
  </si>
  <si>
    <t>| F ||    B,D,H    |
| ∅ || a,b,d,e,g,h |</t>
  </si>
  <si>
    <t>|    B,D,H    || F |
| a,b,d,e,g,h || ∅ |</t>
  </si>
  <si>
    <t>ABDEGH_{t+1}|ABCDEFGH_{t}</t>
  </si>
  <si>
    <t xml:space="preserve">| H ||   A,B,D,E,G   |
| a || b,c,d,e,f,g,h |
</t>
  </si>
  <si>
    <t>| A ||   B,D,E,G,H   |
| h || a,b,c,d,e,f,g |</t>
  </si>
  <si>
    <t>|   A,B,D,E,G   || H |
| b,c,d,e,f,g,h || a |</t>
  </si>
  <si>
    <t>ABDEGH_{t+1}|ABCDEFG_{t}</t>
  </si>
  <si>
    <t xml:space="preserve">| A ||   B,D,E,G,H   |
| ∅ || a,b,c,d,e,f,g |
</t>
  </si>
  <si>
    <t>| A ||   B,D,E,G,H   |
| ∅ || a,b,c,d,e,f,g |</t>
  </si>
  <si>
    <t>|   B,D,E,G,H   || A |
| a,b,c,d,e,f,g || ∅ |</t>
  </si>
  <si>
    <t>ABDEGH_{t+1}|BCDEFGH_{t}</t>
  </si>
  <si>
    <t xml:space="preserve">| H ||   A,B,D,E,G   |
| ∅ || b,c,d,e,f,g,h |
</t>
  </si>
  <si>
    <t>| H ||   A,B,D,E,G   |
| ∅ || b,c,d,e,f,g,h |</t>
  </si>
  <si>
    <t>|   A,B,D,E,G   || H |
| b,c,d,e,f,g,h || ∅ |</t>
  </si>
  <si>
    <t>ABDEGH_{t+1}|BCDEFG_{t}</t>
  </si>
  <si>
    <t xml:space="preserve">| A ||  B,D,E,G,H  |
| ∅ || b,c,d,e,f,g |
</t>
  </si>
  <si>
    <t>| H ||  A,B,D,E,G  |
| ∅ || b,c,d,e,f,g |</t>
  </si>
  <si>
    <t>|  B,D,E,G,H  || A |
| b,c,d,e,f,g || ∅ |</t>
  </si>
  <si>
    <t>ABDEGH_{t+1}|ACEG_{t}</t>
  </si>
  <si>
    <t xml:space="preserve">| A || B,D,E,G,H |
| ∅ ||  a,c,e,g  |
</t>
  </si>
  <si>
    <t>| G || A,B,D,E,H |
| ∅ ||  a,c,e,g  |</t>
  </si>
  <si>
    <t>| B,D,E,G,H || A |
|  a,c,e,g  || ∅ |</t>
  </si>
  <si>
    <t>ABDEGH_{t+1}|BDFH_{t}</t>
  </si>
  <si>
    <t xml:space="preserve">| B || A,D,E,G,H |
| ∅ ||  b,d,f,h  |
</t>
  </si>
  <si>
    <t>| H || A,B,D,E,G |
| ∅ ||  b,d,f,h  |</t>
  </si>
  <si>
    <t>| A,D,E,G,H || B |
|  b,d,f,h  || ∅ |</t>
  </si>
  <si>
    <t>ABDEGH_{t+1}|ABDEGH_{t}</t>
  </si>
  <si>
    <t xml:space="preserve">| H || A,B,D,E,G |
| a || b,d,e,g,h |
</t>
  </si>
  <si>
    <t>| A || B,D,E,G,H |
| h || a,b,d,e,g |</t>
  </si>
  <si>
    <t>| A,B,D,E,G || H |
| b,d,e,g,h || a |</t>
  </si>
  <si>
    <t xml:space="preserve">Archivo base: </t>
  </si>
  <si>
    <t>/samples/N10A.csv</t>
  </si>
  <si>
    <t>Sistema candidato: ABCDEFGHIJ</t>
  </si>
  <si>
    <t>ABCDEFGHIJ_{t+1}|ABCDEFGHIJ_{t}</t>
  </si>
  <si>
    <t>⎛ I ⎞⎛  A,B,C,D,E,F,G,H,J  ⎞
⎝ ∅ ⎠⎝ a,b,c,d,e,f,g,h,i,j ⎠</t>
  </si>
  <si>
    <t>| I ||  A,B,C,D,E,F,G,H,J  |
| ∅ || a,b,c,d,e,f,g,h,i,j |</t>
  </si>
  <si>
    <t>|  A,B,C,D,E,F,G,H,J  || I |
| a,b,c,d,e,f,g,h,i,j || ∅ |</t>
  </si>
  <si>
    <t>ABCDEFGHIJ_{t+1}|ABCDEFGHI_{t}</t>
  </si>
  <si>
    <t>⎛ G ⎞⎛ A,B,C,D,E,F,H,I,J ⎞
⎝ ∅ ⎠⎝ a,b,c,d,e,f,g,h,i ⎠</t>
  </si>
  <si>
    <t>| G || A,B,C,D,E,F,H,I,J |
| ∅ || a,b,c,d,e,f,g,h,i |</t>
  </si>
  <si>
    <t>| A,B,C,D,E,F,H,I,J || G |
| a,b,c,d,e,f,g,h,i || ∅ |</t>
  </si>
  <si>
    <t>ABCDEFGHIJ_{t+1}|BCDEFGHIJ_{t}</t>
  </si>
  <si>
    <t>⎛ G ⎞⎛ A,B,C,D,E,F,H,I,J ⎞
⎝ ∅ ⎠⎝ b,c,d,e,f,g,h,i,j ⎠</t>
  </si>
  <si>
    <t>| G || A,B,C,D,E,F,H,I,J |
| ∅ || b,c,d,e,f,g,h,i,j |</t>
  </si>
  <si>
    <t>| A,B,C,D,E,F,H,I,J || G |
| b,c,d,e,f,g,h,i,j || ∅ |</t>
  </si>
  <si>
    <t>ABCDEFGHIJ_{t+1}|BCDEFGHI_{t}</t>
  </si>
  <si>
    <t>⎛ B ⎞⎛ A,C,D,E,F,G,H,I,J ⎞
⎝ ∅ ⎠⎝  b,c,d,e,f,g,h,i  ⎠</t>
  </si>
  <si>
    <t>| H || A,B,C,D,E,F,G,I,J |
| ∅ ||  b,c,d,e,f,g,h,i  |</t>
  </si>
  <si>
    <t>| A,C,D,E,F,G,H,I,J || B |
|  b,c,d,e,f,g,h,i  || ∅ |</t>
  </si>
  <si>
    <t>ABCDEFGHIJ_{t+1}|ACEGI_{t}</t>
  </si>
  <si>
    <t>⎛ E ⎞⎛ A,B,C,D,F,G,H,I,J ⎞
⎝ ∅ ⎠⎝     a,c,e,g,i     ⎠</t>
  </si>
  <si>
    <t>| E || A,B,C,D,F,G,H,I,J |
| ∅ ||     a,c,e,g,i     |</t>
  </si>
  <si>
    <t>| A,B,C,D,F,G,H,I,J || E |
|     a,c,e,g,i     || ∅ |</t>
  </si>
  <si>
    <t>ABCDEFGHIJ_{t+1}|BDFHJ_{t}</t>
  </si>
  <si>
    <t>⎛ I ⎞⎛ A,B,C,D,E,F,G,H,J ⎞
⎝ ∅ ⎠⎝     b,d,f,h,j     ⎠</t>
  </si>
  <si>
    <t>| I || A,B,C,D,E,F,G,H,J |
| ∅ ||     b,d,f,h,j     |</t>
  </si>
  <si>
    <t>| A,B,C,D,E,F,G,H,J || I |
|     b,d,f,h,j     || ∅ |</t>
  </si>
  <si>
    <t>ABCDEFGHIJ_{t+1}|ABDEGHJ_{t}</t>
  </si>
  <si>
    <t>⎛ J ⎞⎛ A,B,C,D,E,F,G,H,I ⎞
⎝ ∅ ⎠⎝   a,b,d,e,g,h,j   ⎠</t>
  </si>
  <si>
    <t>| J || A,B,C,D,E,F,G,H,I |
| ∅ ||   a,b,d,e,g,h,j   |</t>
  </si>
  <si>
    <t>| A,B,C,D,E,F,G,H,I || J |
|   a,b,d,e,g,h,j   || ∅ |</t>
  </si>
  <si>
    <t>ABCDEFGHI_{t+1}|ABCDEFGHIJ_{t}</t>
  </si>
  <si>
    <t>⎛ I ⎞⎛   A,B,C,D,E,F,G,H   ⎞
⎝ ∅ ⎠⎝ a,b,c,d,e,f,g,h,i,j ⎠</t>
  </si>
  <si>
    <t>| I ||   A,B,C,D,E,F,G,H   |
| ∅ || a,b,c,d,e,f,g,h,i,j |</t>
  </si>
  <si>
    <t>|   A,B,C,D,E,F,G,H   || I |
| a,b,c,d,e,f,g,h,i,j || ∅ |</t>
  </si>
  <si>
    <t>ABCDEFGHI_{t+1}|ABCDEFGHI_{t}</t>
  </si>
  <si>
    <t>⎛ G ⎞⎛  A,B,C,D,E,F,H,I  ⎞
⎝ ∅ ⎠⎝ a,b,c,d,e,f,g,h,i ⎠</t>
  </si>
  <si>
    <t>| G ||  A,B,C,D,E,F,H,I  |
| ∅ || a,b,c,d,e,f,g,h,i |</t>
  </si>
  <si>
    <t>|  A,B,C,D,E,F,H,I  || G |
| a,b,c,d,e,f,g,h,i || ∅ |</t>
  </si>
  <si>
    <t>ABCDEFGHI_{t+1}|BCDEFGHIJ_{t}</t>
  </si>
  <si>
    <t>⎛ G ⎞⎛  A,B,C,D,E,F,H,I  ⎞
⎝ ∅ ⎠⎝ b,c,d,e,f,g,h,i,j ⎠</t>
  </si>
  <si>
    <t>| G ||  A,B,C,D,E,F,H,I  |
| ∅ || b,c,d,e,f,g,h,i,j |</t>
  </si>
  <si>
    <t>|  A,B,C,D,E,F,H,I  || G |
| b,c,d,e,f,g,h,i,j || ∅ |</t>
  </si>
  <si>
    <t>ABCDEFGHI_{t+1}|BCDEFGHI_{t}</t>
  </si>
  <si>
    <t>⎛ B ⎞⎛ A,C,D,E,F,G,H,I ⎞
⎝ ∅ ⎠⎝ b,c,d,e,f,g,h,i ⎠</t>
  </si>
  <si>
    <t>| H || A,B,C,D,E,F,G,I |
| ∅ || b,c,d,e,f,g,h,i |</t>
  </si>
  <si>
    <t>| A,C,D,E,F,G,H,I || B |
| b,c,d,e,f,g,h,i || ∅ |</t>
  </si>
  <si>
    <t>ABCDEFGHI_{t+1}|ACEGI_{t}</t>
  </si>
  <si>
    <t>⎛ E ⎞⎛ A,B,C,D,F,G,H,I ⎞
⎝ ∅ ⎠⎝    a,c,e,g,i    ⎠</t>
  </si>
  <si>
    <t>| E || A,B,C,D,F,G,H,I |
| ∅ ||    a,c,e,g,i    |</t>
  </si>
  <si>
    <t>| A,B,C,D,F,G,H,I || E |
|    a,c,e,g,i    || ∅ |</t>
  </si>
  <si>
    <t>ABCDEFGHI_{t+1}|BDFHJ_{t}</t>
  </si>
  <si>
    <t>⎛ I ⎞⎛ A,B,C,D,E,F,G,H ⎞
⎝ ∅ ⎠⎝    b,d,f,h,j    ⎠</t>
  </si>
  <si>
    <t>| I || A,B,C,D,E,F,G,H |
| ∅ ||    b,d,f,h,j    |</t>
  </si>
  <si>
    <t>| A,B,C,D,E,F,G,H || I |
|    b,d,f,h,j    || ∅ |</t>
  </si>
  <si>
    <t>ABCDEFGHI_{t+1}|ABDEGHJ_{t}</t>
  </si>
  <si>
    <t>⎛ C ⎞⎛ A,B,D,E,F,G,H,I ⎞
⎝ ∅ ⎠⎝  a,b,d,e,g,h,j  ⎠</t>
  </si>
  <si>
    <t>| C || A,B,D,E,F,G,H,I |
| ∅ ||  a,b,d,e,g,h,j  |</t>
  </si>
  <si>
    <t>| A,B,D,E,F,G,H,I || C |
|  a,b,d,e,g,h,j  || ∅ |</t>
  </si>
  <si>
    <t>BCDEFGHIJ_{t+1}|ABCDEFGHIJ_{t}</t>
  </si>
  <si>
    <t>⎛ I ⎞⎛   B,C,D,E,F,G,H,J   ⎞
⎝ ∅ ⎠⎝ a,b,c,d,e,f,g,h,i,j ⎠</t>
  </si>
  <si>
    <t>| I ||   B,C,D,E,F,G,H,J   |
| ∅ || a,b,c,d,e,f,g,h,i,j |</t>
  </si>
  <si>
    <t>|   B,C,D,E,F,G,H,J   || I |
| a,b,c,d,e,f,g,h,i,j || ∅ |</t>
  </si>
  <si>
    <t>BCDEFGHIJ_{t+1}|ABCDEFGHI_{t}</t>
  </si>
  <si>
    <t>⎛ G ⎞⎛  B,C,D,E,F,H,I,J  ⎞
⎝ ∅ ⎠⎝ a,b,c,d,e,f,g,h,i ⎠</t>
  </si>
  <si>
    <t>| G ||  B,C,D,E,F,H,I,J  |
| ∅ || a,b,c,d,e,f,g,h,i |</t>
  </si>
  <si>
    <t>|  B,C,D,E,F,H,I,J  || G |
| a,b,c,d,e,f,g,h,i || ∅ |</t>
  </si>
  <si>
    <t>BCDEFGHIJ_{t+1}|BCDEFGHIJ_{t}</t>
  </si>
  <si>
    <t>⎛ G ⎞⎛  B,C,D,E,F,H,I,J  ⎞
⎝ ∅ ⎠⎝ b,c,d,e,f,g,h,i,j ⎠</t>
  </si>
  <si>
    <t>| G ||  B,C,D,E,F,H,I,J  |
| ∅ || b,c,d,e,f,g,h,i,j |</t>
  </si>
  <si>
    <t>|  B,C,D,E,F,H,I,J  || G |
| b,c,d,e,f,g,h,i,j || ∅ |</t>
  </si>
  <si>
    <t>BCDEFGHIJ_{t+1}|BCDEFGHI_{t}</t>
  </si>
  <si>
    <t>⎛ B ⎞⎛ C,D,E,F,G,H,I,J ⎞
⎝ ∅ ⎠⎝ b,c,d,e,f,g,h,i ⎠</t>
  </si>
  <si>
    <t>| H || B,C,D,E,F,G,I,J |
| ∅ || b,c,d,e,f,g,h,i |</t>
  </si>
  <si>
    <t>| C,D,E,F,G,H,I,J || B |
| b,c,d,e,f,g,h,i || ∅ |</t>
  </si>
  <si>
    <t>BCDEFGHIJ_{t+1}|ACEGI_{t}</t>
  </si>
  <si>
    <t>⎛ E ⎞⎛ B,C,D,F,G,H,I,J ⎞
⎝ ∅ ⎠⎝    a,c,e,g,i    ⎠</t>
  </si>
  <si>
    <t>| E || B,C,D,F,G,H,I,J |
| ∅ ||    a,c,e,g,i    |</t>
  </si>
  <si>
    <t>| B,C,D,F,G,H,I,J || E |
|    a,c,e,g,i    || ∅ |</t>
  </si>
  <si>
    <t>BCDEFGHIJ_{t+1}|BDFHJ_{t}</t>
  </si>
  <si>
    <t>⎛ I ⎞⎛ B,C,D,E,F,G,H,J ⎞
⎝ ∅ ⎠⎝    b,d,f,h,j    ⎠</t>
  </si>
  <si>
    <t>| I || B,C,D,E,F,G,H,J |
| ∅ ||    b,d,f,h,j    |</t>
  </si>
  <si>
    <t>| B,C,D,E,F,G,H,J || I |
|    b,d,f,h,j    || ∅ |</t>
  </si>
  <si>
    <t>BCDEFGHIJ_{t+1}|ABDEGHJ_{t}</t>
  </si>
  <si>
    <t>⎛ J ⎞⎛ B,C,D,E,F,G,H,I ⎞
⎝ ∅ ⎠⎝  a,b,d,e,g,h,j  ⎠</t>
  </si>
  <si>
    <t>| J || B,C,D,E,F,G,H,I |
| ∅ ||  a,b,d,e,g,h,j  |</t>
  </si>
  <si>
    <t>| B,C,D,E,F,G,H,I || J |
|  a,b,d,e,g,h,j  || ∅ |</t>
  </si>
  <si>
    <t>BCDEFGHI_{t+1}|ABCDEFGHIJ_{t}</t>
  </si>
  <si>
    <t>⎛ I ⎞⎛    B,C,D,E,F,G,H    ⎞
⎝ ∅ ⎠⎝ a,b,c,d,e,f,g,h,i,j ⎠</t>
  </si>
  <si>
    <t>| I ||    B,C,D,E,F,G,H    |
| ∅ || a,b,c,d,e,f,g,h,i,j |</t>
  </si>
  <si>
    <t>|    B,C,D,E,F,G,H    || I |
| a,b,c,d,e,f,g,h,i,j || ∅ |</t>
  </si>
  <si>
    <t>BCDEFGHI_{t+1}|ABCDEFGHI_{t}</t>
  </si>
  <si>
    <t>⎛ G ⎞⎛   B,C,D,E,F,H,I   ⎞
⎝ ∅ ⎠⎝ a,b,c,d,e,f,g,h,i ⎠</t>
  </si>
  <si>
    <t>| G ||   B,C,D,E,F,H,I   |
| ∅ || a,b,c,d,e,f,g,h,i |</t>
  </si>
  <si>
    <t>|   B,C,D,E,F,H,I   || G |
| a,b,c,d,e,f,g,h,i || ∅ |</t>
  </si>
  <si>
    <t>BCDEFGHI_{t+1}|BCDEFGHIJ_{t}</t>
  </si>
  <si>
    <t>⎛ G ⎞⎛   B,C,D,E,F,H,I   ⎞
⎝ ∅ ⎠⎝ b,c,d,e,f,g,h,i,j ⎠</t>
  </si>
  <si>
    <t>| G ||   B,C,D,E,F,H,I   |
| ∅ || b,c,d,e,f,g,h,i,j |</t>
  </si>
  <si>
    <t>|   B,C,D,E,F,H,I   || G |
| b,c,d,e,f,g,h,i,j || ∅ |</t>
  </si>
  <si>
    <t>BCDEFGHI_{t+1}|BCDEFGHI_{t}</t>
  </si>
  <si>
    <t>⎛ B ⎞⎛  C,D,E,F,G,H,I  ⎞
⎝ ∅ ⎠⎝ b,c,d,e,f,g,h,i ⎠</t>
  </si>
  <si>
    <t>| H ||  B,C,D,E,F,G,I  |
| ∅ || b,c,d,e,f,g,h,i |</t>
  </si>
  <si>
    <t>|  C,D,E,F,G,H,I  || B |
| b,c,d,e,f,g,h,i || ∅ |</t>
  </si>
  <si>
    <t>BCDEFGHI_{t+1}|ACEGI_{t}</t>
  </si>
  <si>
    <t>⎛ E ⎞⎛ B,C,D,F,G,H,I ⎞
⎝ ∅ ⎠⎝   a,c,e,g,i   ⎠</t>
  </si>
  <si>
    <t>| E || B,C,D,F,G,H,I |
| ∅ ||   a,c,e,g,i   |</t>
  </si>
  <si>
    <t>| B,C,D,F,G,H,I || E |
|   a,c,e,g,i   || ∅ |</t>
  </si>
  <si>
    <t>BCDEFGHI_{t+1}|BDFHJ_{t}</t>
  </si>
  <si>
    <t>⎛ I ⎞⎛ B,C,D,E,F,G,H ⎞
⎝ ∅ ⎠⎝   b,d,f,h,j   ⎠</t>
  </si>
  <si>
    <t>| I || B,C,D,E,F,G,H |
| ∅ ||   b,d,f,h,j   |</t>
  </si>
  <si>
    <t>| B,C,D,E,F,G,H || I |
|   b,d,f,h,j   || ∅ |</t>
  </si>
  <si>
    <t>BCDEFGHI_{t+1}|ABDEGHJ_{t}</t>
  </si>
  <si>
    <t>⎛ C ⎞⎛ B,D,E,F,G,H,I ⎞
⎝ ∅ ⎠⎝ a,b,d,e,g,h,j ⎠</t>
  </si>
  <si>
    <t>| C || B,D,E,F,G,H,I |
| ∅ || a,b,d,e,g,h,j |</t>
  </si>
  <si>
    <t>| B,D,E,F,G,H,I || C |
| a,b,d,e,g,h,j || ∅ |</t>
  </si>
  <si>
    <t>ACEGI_{t+1}|ABCDEFGHIJ_{t}</t>
  </si>
  <si>
    <t>⎛ I ⎞⎛       A,C,E,G       ⎞
⎝ ∅ ⎠⎝ a,b,c,d,e,f,g,h,i,j ⎠</t>
  </si>
  <si>
    <t>| I ||       A,C,E,G       |
| ∅ || a,b,c,d,e,f,g,h,i,j |</t>
  </si>
  <si>
    <t>|       A,C,E,G       || I |
| a,b,c,d,e,f,g,h,i,j || ∅ |</t>
  </si>
  <si>
    <t>ACEGI_{t+1}|ABCDEFGHI_{t}</t>
  </si>
  <si>
    <t>⎛ G ⎞⎛      A,C,E,I      ⎞
⎝ ∅ ⎠⎝ a,b,c,d,e,f,g,h,i ⎠</t>
  </si>
  <si>
    <t>| G ||      A,C,E,I      |
| ∅ || a,b,c,d,e,f,g,h,i |</t>
  </si>
  <si>
    <t>|      A,C,E,I      || G |
| a,b,c,d,e,f,g,h,i || ∅ |</t>
  </si>
  <si>
    <t>ACEGI_{t+1}|BCDEFGHIJ_{t}</t>
  </si>
  <si>
    <t>⎛ G ⎞⎛      A,C,E,I      ⎞
⎝ ∅ ⎠⎝ b,c,d,e,f,g,h,i,j ⎠</t>
  </si>
  <si>
    <t>| G ||      A,C,E,I      |
| ∅ || b,c,d,e,f,g,h,i,j |</t>
  </si>
  <si>
    <t>|      A,C,E,I      || G |
| b,c,d,e,f,g,h,i,j || ∅ |</t>
  </si>
  <si>
    <t>ACEGI_{t+1}|BCDEFGHI_{t}</t>
  </si>
  <si>
    <t>⎛ A ⎞⎛     C,E,G,I     ⎞
⎝ ∅ ⎠⎝ b,c,d,e,f,g,h,i ⎠</t>
  </si>
  <si>
    <t>| A ||     C,E,G,I     |
| ∅ || b,c,d,e,f,g,h,i |</t>
  </si>
  <si>
    <t>|     C,E,G,I     || A |
| b,c,d,e,f,g,h,i || ∅ |</t>
  </si>
  <si>
    <t>ACEGI_{t+1}|ACEGI_{t}</t>
  </si>
  <si>
    <t>⎛ E ⎞⎛  A,C,G,I  ⎞
⎝ ∅ ⎠⎝ a,c,e,g,i ⎠</t>
  </si>
  <si>
    <t>| E ||  A,C,G,I  |
| ∅ || a,c,e,g,i |</t>
  </si>
  <si>
    <t>|  A,C,G,I  || E |
| a,c,e,g,i || ∅ |</t>
  </si>
  <si>
    <t>ACEGI_{t+1}|BDFHJ_{t}</t>
  </si>
  <si>
    <t>⎛ I ⎞⎛  A,C,E,G  ⎞
⎝ ∅ ⎠⎝ b,d,f,h,j ⎠</t>
  </si>
  <si>
    <t>| I ||  A,C,E,G  |
| ∅ || b,d,f,h,j |</t>
  </si>
  <si>
    <t>|  A,C,E,G  || I |
| b,d,f,h,j || ∅ |</t>
  </si>
  <si>
    <t>ACEGI_{t+1}|ABDEGHJ_{t}</t>
  </si>
  <si>
    <t>⎛ C ⎞⎛    A,E,G,I    ⎞
⎝ ∅ ⎠⎝ a,b,d,e,g,h,j ⎠</t>
  </si>
  <si>
    <t>| C ||    A,E,G,I    |
| ∅ || a,b,d,e,g,h,j |</t>
  </si>
  <si>
    <t>|    A,E,G,I    || C |
| a,b,d,e,g,h,j || ∅ |</t>
  </si>
  <si>
    <t>BDFHJ_{t+1}|ABCDEFGHIJ_{t}</t>
  </si>
  <si>
    <t>⎛ H ⎞⎛      B,D,F,J      ⎞
⎝ i ⎠⎝ a,b,c,d,e,f,g,h,j ⎠</t>
  </si>
  <si>
    <t>| H ||      B,D,F,J      |
| i || a,b,c,d,e,f,g,h,j |</t>
  </si>
  <si>
    <t>|      B,D,F,J      || H |
| a,b,c,d,e,f,g,h,j || i |</t>
  </si>
  <si>
    <t>BDFHJ_{t+1}|ABCDEFGHI_{t}</t>
  </si>
  <si>
    <t>⎛ J ⎞⎛      B,D,F,H      ⎞
⎝ ∅ ⎠⎝ a,b,c,d,e,f,g,h,i ⎠</t>
  </si>
  <si>
    <t>| J ||      B,D,F,H      |
| ∅ || a,b,c,d,e,f,g,h,i |</t>
  </si>
  <si>
    <t>|      B,D,F,H      || J |
| a,b,c,d,e,f,g,h,i || ∅ |</t>
  </si>
  <si>
    <t>BDFHJ_{t+1}|BCDEFGHIJ_{t}</t>
  </si>
  <si>
    <t>⎛ F ⎞⎛      B,D,H,J      ⎞
⎝ ∅ ⎠⎝ b,c,d,e,f,g,h,i,j ⎠</t>
  </si>
  <si>
    <t>| F ||      B,D,H,J      |
| ∅ || b,c,d,e,f,g,h,i,j |</t>
  </si>
  <si>
    <t>|      B,D,H,J      || F |
| b,c,d,e,f,g,h,i,j || ∅ |</t>
  </si>
  <si>
    <t>BDFHJ_{t+1}|BCDEFGHI_{t}</t>
  </si>
  <si>
    <t>⎛ B ⎞⎛     D,F,H,J     ⎞
⎝ ∅ ⎠⎝ b,c,d,e,f,g,h,i ⎠</t>
  </si>
  <si>
    <t>| H ||     B,D,F,J     |
| ∅ || b,c,d,e,f,g,h,i |</t>
  </si>
  <si>
    <t>|     D,F,H,J     || B |
| b,c,d,e,f,g,h,i || ∅ |</t>
  </si>
  <si>
    <t>BDFHJ_{t+1}|ACEGI_{t}</t>
  </si>
  <si>
    <t>⎛ F ⎞⎛  B,D,H,J  ⎞
⎝ ∅ ⎠⎝ a,c,e,g,i ⎠</t>
  </si>
  <si>
    <t>| F ||  B,D,H,J  |
| ∅ || a,c,e,g,i |</t>
  </si>
  <si>
    <t>|  B,D,H,J  || F |
| a,c,e,g,i || ∅ |</t>
  </si>
  <si>
    <t>BDFHJ_{t+1}|BDFHJ_{t}</t>
  </si>
  <si>
    <t>⎛ F ⎞⎛  B,D,H,J  ⎞
⎝ ∅ ⎠⎝ b,d,f,h,j ⎠</t>
  </si>
  <si>
    <t>| F ||  B,D,H,J  |
| ∅ || b,d,f,h,j |</t>
  </si>
  <si>
    <t>|  B,D,H,J  || F |
| b,d,f,h,j || ∅ |</t>
  </si>
  <si>
    <t>BDFHJ_{t+1}|ABDEGHJ_{t}</t>
  </si>
  <si>
    <t>⎛ J ⎞⎛    B,D,F,H    ⎞
⎝ ∅ ⎠⎝ a,b,d,e,g,h,j ⎠</t>
  </si>
  <si>
    <t>| J ||    B,D,F,H    |
| ∅ || a,b,d,e,g,h,j |</t>
  </si>
  <si>
    <t>|    B,D,F,H    || J |
| a,b,d,e,g,h,j || ∅ |</t>
  </si>
  <si>
    <t>ABDEGHJ_{t+1}|ABCDEFGHIJ_{t}</t>
  </si>
  <si>
    <t>⎛ A ⎞⎛     B,D,E,G,H,J     ⎞
⎝ ∅ ⎠⎝ a,b,c,d,e,f,g,h,i,j ⎠</t>
  </si>
  <si>
    <t>| A ||     B,D,E,G,H,J     |
| ∅ || a,b,c,d,e,f,g,h,i,j |</t>
  </si>
  <si>
    <t>|     B,D,E,G,H,J     || A |
| a,b,c,d,e,f,g,h,i,j || ∅ |</t>
  </si>
  <si>
    <t>ABDEGHJ_{t+1}|ABCDEFGHI_{t}</t>
  </si>
  <si>
    <t>⎛ G ⎞⎛    A,B,D,E,H,J    ⎞
⎝ ∅ ⎠⎝ a,b,c,d,e,f,g,h,i ⎠</t>
  </si>
  <si>
    <t>| G ||    A,B,D,E,H,J    |
| ∅ || a,b,c,d,e,f,g,h,i |</t>
  </si>
  <si>
    <t>|    A,B,D,E,H,J    || G |
| a,b,c,d,e,f,g,h,i || ∅ |</t>
  </si>
  <si>
    <t>ABDEGHJ_{t+1}|BCDEFGHIJ_{t}</t>
  </si>
  <si>
    <t>⎛ G ⎞⎛    A,B,D,E,H,J    ⎞
⎝ ∅ ⎠⎝ b,c,d,e,f,g,h,i,j ⎠</t>
  </si>
  <si>
    <t>| G ||    A,B,D,E,H,J    |
| ∅ || b,c,d,e,f,g,h,i,j |</t>
  </si>
  <si>
    <t>|    A,B,D,E,H,J    || G |
| b,c,d,e,f,g,h,i,j || ∅ |</t>
  </si>
  <si>
    <t>ABDEGHJ_{t+1}|BCDEFGHI_{t}</t>
  </si>
  <si>
    <t>⎛ B ⎞⎛   A,D,E,G,H,J   ⎞
⎝ ∅ ⎠⎝ b,c,d,e,f,g,h,i ⎠</t>
  </si>
  <si>
    <t>| H ||   A,B,D,E,G,J   |
| ∅ || b,c,d,e,f,g,h,i |</t>
  </si>
  <si>
    <t>|   A,D,E,G,H,J   || B |
| b,c,d,e,f,g,h,i || ∅ |</t>
  </si>
  <si>
    <t>ABDEGHJ_{t+1}|ACEGI_{t}</t>
  </si>
  <si>
    <t>⎛ E ⎞⎛ A,B,D,G,H,J ⎞
⎝ ∅ ⎠⎝  a,c,e,g,i  ⎠</t>
  </si>
  <si>
    <t>| E || A,B,D,G,H,J |
| ∅ ||  a,c,e,g,i  |</t>
  </si>
  <si>
    <t>| A,B,D,G,H,J || E |
|  a,c,e,g,i  || ∅ |</t>
  </si>
  <si>
    <t>ABDEGHJ_{t+1}|BDFHJ_{t}</t>
  </si>
  <si>
    <t>⎛ A ⎞⎛ B,D,E,G,H,J ⎞
⎝ ∅ ⎠⎝  b,d,f,h,j  ⎠</t>
  </si>
  <si>
    <t>| A || B,D,E,G,H,J |
| ∅ ||  b,d,f,h,j  |</t>
  </si>
  <si>
    <t>| B,D,E,G,H,J || A |
|  b,d,f,h,j  || ∅ |</t>
  </si>
  <si>
    <t>ABDEGHJ_{t+1}|ABDEGHJ_{t}</t>
  </si>
  <si>
    <t>⎛ J ⎞⎛  A,B,D,E,G,H  ⎞
⎝ ∅ ⎠⎝ a,b,d,e,g,h,j ⎠</t>
  </si>
  <si>
    <t>| J ||  A,B,D,E,G,H  |
| ∅ || a,b,d,e,g,h,j |</t>
  </si>
  <si>
    <t>|  A,B,D,E,G,H  || J |
| a,b,d,e,g,h,j || ∅ |</t>
  </si>
  <si>
    <t>BCDEFGJ_{t+1}|BCDEFGHIJ_{t}</t>
  </si>
  <si>
    <t>⎛ G ⎞⎛    B,C,D,E,F,J    ⎞
⎝ ∅ ⎠⎝ b,c,d,e,f,g,h,i,j ⎠</t>
  </si>
  <si>
    <t>| G ||    B,C,D,E,F,J    |
| ∅ || b,c,d,e,f,g,h,i,j |</t>
  </si>
  <si>
    <t>|    B,C,D,E,F,J    || G |
| b,c,d,e,f,g,h,i,j || ∅ |</t>
  </si>
  <si>
    <t>/samples/N15A.csv</t>
  </si>
  <si>
    <t>Sistema candidato: ABCDEFGHIJKLMNO</t>
  </si>
  <si>
    <t>10000000000000</t>
  </si>
  <si>
    <t>Estrategia Geometric</t>
  </si>
  <si>
    <t>ABCDEFGHIJKLMNO_{t+1}|ABCDEFGHIJKLMNO_{t}</t>
  </si>
  <si>
    <t>⎛ ∅ ⎞⎛ A,B,C,D,E,F,G,H,I,J,K,L,M,N,O ⎞
⎝ a ⎠⎝  b,c,d,e,f,g,h,i,j,k,l,m,n,o  ⎠</t>
  </si>
  <si>
    <t>| ∅ || A,B,C,D,E,F,G,H,I,J,K,L,M,N,O |
| i ||  a,b,c,d,e,f,g,h,j,k,l,m,n,o  |</t>
  </si>
  <si>
    <t>| A,B,C,D,E,F,G,H,I,J,K,L,M,N,O || ∅ |
|  b,c,d,e,f,g,h,i,j,k,l,m,n,o  || a |</t>
  </si>
  <si>
    <t>ABCDEFGHIJKLMNO_{t+1}|ABCDEFGHIJKLMN_{t}</t>
  </si>
  <si>
    <t>⎛ ∅ ⎞⎛ A,B,C,D,E,F,G,H,I,J,K,L,M,N,O ⎞
⎝ a ⎠⎝   b,c,d,e,f,g,h,i,j,k,l,m,n   ⎠</t>
  </si>
  <si>
    <t>| ∅ || A,B,C,D,E,F,G,H,I,J,K,L,M,N,O |
| m ||   a,b,c,d,e,f,g,h,i,j,k,l,n   |</t>
  </si>
  <si>
    <t>| A,B,C,D,E,F,G,H,I,J,K,L,M,N,O || ∅ |
|   b,c,d,e,f,g,h,i,j,k,l,m,n   || a |</t>
  </si>
  <si>
    <t>ABCDEFGHIJKLMNO_{t+1}|BCDEFGHIJKLMNO_{t}</t>
  </si>
  <si>
    <t>⎛ ∅ ⎞⎛ A,B,C,D,E,F,G,H,I,J,K,L,M,N,O ⎞
⎝ b ⎠⎝   c,d,e,f,g,h,i,j,k,l,m,n,o   ⎠</t>
  </si>
  <si>
    <t>| ∅ || A,B,C,D,E,F,G,H,I,J,K,L,M,N,O |
| o ||   b,c,d,e,f,g,h,i,j,k,l,m,n   |</t>
  </si>
  <si>
    <t>| A,B,C,D,E,F,G,H,I,J,K,L,M,N,O || ∅ |
|   c,d,e,f,g,h,i,j,k,l,m,n,o   || b |</t>
  </si>
  <si>
    <t>ABCDEFGHIJKLMNO_{t+1}|BCDEFGHIJKLMN_{t}</t>
  </si>
  <si>
    <t>⎛ ∅ ⎞⎛ A,B,C,D,E,F,G,H,I,J,K,L,M,N,O ⎞
⎝ b ⎠⎝    c,d,e,f,g,h,i,j,k,l,m,n    ⎠</t>
  </si>
  <si>
    <t>| ∅ || A,B,C,D,E,F,G,H,I,J,K,L,M,N,O |
| g ||    b,c,d,e,f,h,i,j,k,l,m,n    |</t>
  </si>
  <si>
    <t>| A,B,C,D,E,F,G,H,I,J,K,L,M,N,O || ∅ |
|    c,d,e,f,g,h,i,j,k,l,m,n    || b |</t>
  </si>
  <si>
    <t>ABCDEFGHIJKLMNO_{t+1}|ACEGIKMO_{t}</t>
  </si>
  <si>
    <t>nan</t>
  </si>
  <si>
    <t>| L || A,B,C,D,E,F,G,H,I,J,K,M,N,O |
| ∅ ||       a,c,e,g,i,k,m,o       |</t>
  </si>
  <si>
    <t>| A,B,C,D,E,F,G,H,I,J,K,M,N,O || L |
|       a,c,e,g,i,k,m,o       || ∅ |</t>
  </si>
  <si>
    <t>ABCDEFGHIJKLMNO_{t+1}|BDFHJLN_{t}</t>
  </si>
  <si>
    <t>| G || A,B,C,D,E,F,H,I,J,K,L,M,N,O |
| ∅ ||        b,d,f,h,j,l,n        |</t>
  </si>
  <si>
    <t>| A,B,C,D,E,F,H,I,J,K,L,M,N,O || G |
|        b,d,f,h,j,l,n        || ∅ |</t>
  </si>
  <si>
    <t>ABCDEFGHIJKLMNO_{t+1}|ABDEGHJKMN_{t}</t>
  </si>
  <si>
    <t>| O || A,B,C,D,E,F,G,H,I,J,K,L,M,N |
| ∅ ||     a,b,d,e,g,h,j,k,m,n     |</t>
  </si>
  <si>
    <t>| A,B,C,D,E,F,G,H,I,J,K,L,M,N || O |
|     a,b,d,e,g,h,j,k,m,n     || ∅ |</t>
  </si>
  <si>
    <t>ABCDEFGHIJKLMN_{t+1}|ABCDEFGHIJKLMNO_{t}</t>
  </si>
  <si>
    <t>⎛ ∅ ⎞⎛ A,B,C,D,E,F,G,H,I,J,K,L,M,N ⎞
⎝ a ⎠⎝ b,c,d,e,f,g,h,i,j,k,l,m,n,o ⎠</t>
  </si>
  <si>
    <t>| ∅ || A,B,C,D,E,F,G,H,I,J,K,L,M,N |
| o || a,b,c,d,e,f,g,h,i,j,k,l,m,n |</t>
  </si>
  <si>
    <t>| A,B,C,D,E,F,G,H,I,J,K,L,M,N || ∅ |
| b,c,d,e,f,g,h,i,j,k,l,m,n,o || a |</t>
  </si>
  <si>
    <t>ABCDEFGHIJKLMN_{t+1}|ABCDEFGHIJKLMN_{t}</t>
  </si>
  <si>
    <t>⎛ ∅ ⎞⎛ A,B,C,D,E,F,G,H,I,J,K,L,M,N ⎞
⎝ a ⎠⎝  b,c,d,e,f,g,h,i,j,k,l,m,n  ⎠</t>
  </si>
  <si>
    <t>| ∅ || A,B,C,D,E,F,G,H,I,J,K,L,M,N |
| m ||  a,b,c,d,e,f,g,h,i,j,k,l,n  |</t>
  </si>
  <si>
    <t>| A,B,C,D,E,F,G,H,I,J,K,L,M,N || ∅ |
|  b,c,d,e,f,g,h,i,j,k,l,m,n  || a |</t>
  </si>
  <si>
    <t>ABCDEFGHIJKLMN_{t+1}|BCDEFGHIJKLMNO_{t}</t>
  </si>
  <si>
    <t>⎛ ∅ ⎞⎛ A,B,C,D,E,F,G,H,I,J,K,L,M,N ⎞
⎝ b ⎠⎝  c,d,e,f,g,h,i,j,k,l,m,n,o  ⎠</t>
  </si>
  <si>
    <t>| ∅ || A,B,C,D,E,F,G,H,I,J,K,L,M,N |
| o ||  b,c,d,e,f,g,h,i,j,k,l,m,n  |</t>
  </si>
  <si>
    <t>| A,B,C,D,E,F,G,H,I,J,K,L,M,N || ∅ |
|  c,d,e,f,g,h,i,j,k,l,m,n,o  || b |</t>
  </si>
  <si>
    <t>ABCDEFGHIJKLMN_{t+1}|BCDEFGHIJKLMN_{t}</t>
  </si>
  <si>
    <t xml:space="preserve">⎛ ∅ ⎞⎛ A,B,C,D,E,F,G,H,I,J,K,L,M,N ⎞
⎝ b ⎠⎝   c,d,e,f,g,h,i,j,k,l,m,n   ⎠
</t>
  </si>
  <si>
    <t>| ∅ || A,B,C,D,E,F,G,H,I,J,K,L,M,N |
| g ||   b,c,d,e,f,h,i,j,k,l,m,n   |</t>
  </si>
  <si>
    <t>| A,B,C,D,E,F,G,H,I,J,K,L,M,N || ∅ |
|   c,d,e,f,g,h,i,j,k,l,m,n   || b |</t>
  </si>
  <si>
    <t>ABCDEFGHIJKLMN_{t+1}|ACEGIKMO_{t}</t>
  </si>
  <si>
    <t>| L || A,B,C,D,E,F,G,H,I,J,K,M,N |
| ∅ ||      a,c,e,g,i,k,m,o      |</t>
  </si>
  <si>
    <t>| A,B,C,D,E,F,G,H,I,J,K,M,N || L |
|      a,c,e,g,i,k,m,o      || ∅ |</t>
  </si>
  <si>
    <t>ABCDEFGHIJKLMN_{t+1}|BDFHJLN_{t}</t>
  </si>
  <si>
    <t>| G || A,B,C,D,E,F,H,I,J,K,L,M,N |
| ∅ ||       b,d,f,h,j,l,n       |</t>
  </si>
  <si>
    <t>| A,B,C,D,E,F,H,I,J,K,L,M,N || G |
|       b,d,f,h,j,l,n       || ∅ |</t>
  </si>
  <si>
    <t>ABCDEFGHIJKLMN_{t+1}|ABDEGHJKMN_{t}</t>
  </si>
  <si>
    <t>| N || A,B,C,D,E,F,G,H,I,J,K,L,M |
| ∅ ||    a,b,d,e,g,h,j,k,m,n    |</t>
  </si>
  <si>
    <t>| A,B,C,D,E,F,G,H,I,J,K,L,M || N |
|    a,b,d,e,g,h,j,k,m,n    || ∅ |</t>
  </si>
  <si>
    <t>BCDEFGHIJKLMNO_{t+1}|ABCDEFGHIJKLMNO_{t}</t>
  </si>
  <si>
    <t>⎛ ∅ ⎞⎛ B,C,D,E,F,G,H,I,J,K,L,M,N,O ⎞
⎝ a ⎠⎝ b,c,d,e,f,g,h,i,j,k,l,m,n,o ⎠</t>
  </si>
  <si>
    <t>| ∅ || B,C,D,E,F,G,H,I,J,K,L,M,N,O |
| o || a,b,c,d,e,f,g,h,i,j,k,l,m,n |</t>
  </si>
  <si>
    <t>| B,C,D,E,F,G,H,I,J,K,L,M,N,O || ∅ |
| b,c,d,e,f,g,h,i,j,k,l,m,n,o || a |</t>
  </si>
  <si>
    <t>BCDEFGHIJKLMNO_{t+1}|ABCDEFGHIJKLMN_{t}</t>
  </si>
  <si>
    <t>⎛ ∅ ⎞⎛ B,C,D,E,F,G,H,I,J,K,L,M,N,O ⎞
⎝ a ⎠⎝  b,c,d,e,f,g,h,i,j,k,l,m,n  ⎠</t>
  </si>
  <si>
    <t>| ∅ || B,C,D,E,F,G,H,I,J,K,L,M,N,O |
| m ||  a,b,c,d,e,f,g,h,i,j,k,l,n  |</t>
  </si>
  <si>
    <t>| B,C,D,E,F,G,H,I,J,K,L,M,N,O || ∅ |
|  b,c,d,e,f,g,h,i,j,k,l,m,n  || a |</t>
  </si>
  <si>
    <t>BCDEFGHIJKLMNO_{t+1}|BCDEFGHIJKLMNO_{t}</t>
  </si>
  <si>
    <t>⎛ ∅ ⎞⎛ B,C,D,E,F,G,H,I,J,K,L,M,N,O ⎞
⎝ b ⎠⎝  c,d,e,f,g,h,i,j,k,l,m,n,o  ⎠</t>
  </si>
  <si>
    <t>| ∅ || B,C,D,E,F,G,H,I,J,K,L,M,N,O |
| o ||  b,c,d,e,f,g,h,i,j,k,l,m,n  |</t>
  </si>
  <si>
    <t>| B,C,D,E,F,G,H,I,J,K,L,M,N,O || ∅ |
|  c,d,e,f,g,h,i,j,k,l,m,n,o  || b |</t>
  </si>
  <si>
    <t>BCDEFGHIJKLMNO_{t+1}|BCDEFGHIJKLMN_{t}</t>
  </si>
  <si>
    <t>⎛ ∅ ⎞⎛ B,C,D,E,F,G,H,I,J,K,L,M,N,O ⎞
⎝ b ⎠⎝   c,d,e,f,g,h,i,j,k,l,m,n   ⎠</t>
  </si>
  <si>
    <t>| ∅ || B,C,D,E,F,G,H,I,J,K,L,M,N,O |
| g ||   b,c,d,e,f,h,i,j,k,l,m,n   |</t>
  </si>
  <si>
    <t>| B,C,D,E,F,G,H,I,J,K,L,M,N,O || ∅ |
|   c,d,e,f,g,h,i,j,k,l,m,n   || b |</t>
  </si>
  <si>
    <t>BCDEFGHIJKLMNO_{t+1}|ACEGIKMO_{t}</t>
  </si>
  <si>
    <t>| L || B,C,D,E,F,G,H,I,J,K,M,N,O |
| ∅ ||      a,c,e,g,i,k,m,o      |</t>
  </si>
  <si>
    <t>| B,C,D,E,F,G,H,I,J,K,M,N,O || L |
|      a,c,e,g,i,k,m,o      || ∅ |</t>
  </si>
  <si>
    <t>BCDEFGHIJKLMNO_{t+1}|BDFHJLN_{t}</t>
  </si>
  <si>
    <t>| G || B,C,D,E,F,H,I,J,K,L,M,N,O |
| ∅ ||       b,d,f,h,j,l,n       |</t>
  </si>
  <si>
    <t>| B,C,D,E,F,H,I,J,K,L,M,N,O || G |
|       b,d,f,h,j,l,n       || ∅ |</t>
  </si>
  <si>
    <t>BCDEFGHIJKLMNO_{t+1}|ABDEGHJKMN_{t}</t>
  </si>
  <si>
    <t>| O || B,C,D,E,F,G,H,I,J,K,L,M,N |
| ∅ ||    a,b,d,e,g,h,j,k,m,n    |</t>
  </si>
  <si>
    <t>| B,C,D,E,F,G,H,I,J,K,L,M,N || O |
|    a,b,d,e,g,h,j,k,m,n    || ∅ |</t>
  </si>
  <si>
    <t>BCDEFGHIJKLMN_{t+1}|ABCDEFGHIJKLMNO_{t}</t>
  </si>
  <si>
    <t>⎛ ∅ ⎞⎛  B,C,D,E,F,G,H,I,J,K,L,M,N  ⎞
⎝ a ⎠⎝ b,c,d,e,f,g,h,i,j,k,l,m,n,o ⎠</t>
  </si>
  <si>
    <t>| ∅ ||  B,C,D,E,F,G,H,I,J,K,L,M,N  |
| o || a,b,c,d,e,f,g,h,i,j,k,l,m,n |</t>
  </si>
  <si>
    <t>|  B,C,D,E,F,G,H,I,J,K,L,M,N  || ∅ |
| b,c,d,e,f,g,h,i,j,k,l,m,n,o || a |</t>
  </si>
  <si>
    <t>BCDEFGHIJKLMN_{t+1}|ABCDEFGHIJKLMN_{t}</t>
  </si>
  <si>
    <t>⎛ ∅ ⎞⎛ B,C,D,E,F,G,H,I,J,K,L,M,N ⎞
⎝ a ⎠⎝ b,c,d,e,f,g,h,i,j,k,l,m,n ⎠</t>
  </si>
  <si>
    <t>| ∅ || B,C,D,E,F,G,H,I,J,K,L,M,N |
| g || a,b,c,d,e,f,h,i,j,k,l,m,n |</t>
  </si>
  <si>
    <t>| B,C,D,E,F,G,H,I,J,K,L,M,N || ∅ |
| b,c,d,e,f,g,h,i,j,k,l,m,n || a |</t>
  </si>
  <si>
    <t>BCDEFGHIJKLMN_{t+1}|BCDEFGHIJKLMNO_{t}</t>
  </si>
  <si>
    <t>⎛ ∅ ⎞⎛ B,C,D,E,F,G,H,I,J,K,L,M,N ⎞
⎝ b ⎠⎝ c,d,e,f,g,h,i,j,k,l,m,n,o ⎠</t>
  </si>
  <si>
    <t>| ∅ || B,C,D,E,F,G,H,I,J,K,L,M,N |
| o || b,c,d,e,f,g,h,i,j,k,l,m,n |</t>
  </si>
  <si>
    <t>| B,C,D,E,F,G,H,I,J,K,L,M,N || ∅ |
| c,d,e,f,g,h,i,j,k,l,m,n,o || b |</t>
  </si>
  <si>
    <t>BCDEFGHIJKLMN_{t+1}|BCDEFGHIJKLMN_{t}</t>
  </si>
  <si>
    <t>⎛ ∅ ⎞⎛ B,C,D,E,F,G,H,I,J,K,L,M,N ⎞
⎝ b ⎠⎝  c,d,e,f,g,h,i,j,k,l,m,n  ⎠</t>
  </si>
  <si>
    <t>| ∅ || B,C,D,E,F,G,H,I,J,K,L,M,N |
| g ||  b,c,d,e,f,h,i,j,k,l,m,n  |</t>
  </si>
  <si>
    <t>| B,C,D,E,F,G,H,I,J,K,L,M,N || ∅ |
|  c,d,e,f,g,h,i,j,k,l,m,n  || b |</t>
  </si>
  <si>
    <t>BCDEFGHIJKLMN_{t+1}|ACEGIKMO_{t}</t>
  </si>
  <si>
    <t>| L || B,C,D,E,F,G,H,I,J,K,M,N |
| ∅ ||     a,c,e,g,i,k,m,o     |</t>
  </si>
  <si>
    <t>| B,C,D,E,F,G,H,I,J,K,M,N || L |
|     a,c,e,g,i,k,m,o     || ∅ |</t>
  </si>
  <si>
    <t>BCDEFGHIJKLMN_{t+1}|BDFHJLN_{t}</t>
  </si>
  <si>
    <t>| G || B,C,D,E,F,H,I,J,K,L,M,N |
| ∅ ||      b,d,f,h,j,l,n      |</t>
  </si>
  <si>
    <t>| B,C,D,E,F,H,I,J,K,L,M,N || G |
|      b,d,f,h,j,l,n      || ∅ |</t>
  </si>
  <si>
    <t>BCDEFGHIJKLMN_{t+1}|ABDEGHJKMN_{t}</t>
  </si>
  <si>
    <t>| N || B,C,D,E,F,G,H,I,J,K,L,M |
| ∅ ||   a,b,d,e,g,h,j,k,m,n   |</t>
  </si>
  <si>
    <t>| B,C,D,E,F,G,H,I,J,K,L,M || N |
|   a,b,d,e,g,h,j,k,m,n   || ∅ |</t>
  </si>
  <si>
    <t>ACEGIKMO_{t+1}|ABCDEFGHIJKLMNO_{t}</t>
  </si>
  <si>
    <t>⎛ ∅ ⎞⎛       A,C,E,G,I,K,M,O       ⎞
⎝ a ⎠⎝ b,c,d,e,f,g,h,i,j,k,l,m,n,o ⎠</t>
  </si>
  <si>
    <t>| ∅ ||       A,C,E,G,I,K,M,O       |
| i || a,b,c,d,e,f,g,h,j,k,l,m,n,o |</t>
  </si>
  <si>
    <t>|       A,C,E,G,I,K,M,O       || ∅ |
| b,c,d,e,f,g,h,i,j,k,l,m,n,o || a |</t>
  </si>
  <si>
    <t>ACEGIKMO_{t+1}|ABCDEFGHIJKLMN_{t}</t>
  </si>
  <si>
    <t>⎛ ∅ ⎞⎛      A,C,E,G,I,K,M,O      ⎞
⎝ a ⎠⎝ b,c,d,e,f,g,h,i,j,k,l,m,n ⎠</t>
  </si>
  <si>
    <t>| ∅ ||      A,C,E,G,I,K,M,O      |
| g || a,b,c,d,e,f,h,i,j,k,l,m,n |</t>
  </si>
  <si>
    <t>|      A,C,E,G,I,K,M,O      || ∅ |
| b,c,d,e,f,g,h,i,j,k,l,m,n || a |</t>
  </si>
  <si>
    <t>ACEGIKMO_{t+1}|BCDEFGHIJKLMNO_{t}</t>
  </si>
  <si>
    <t>⎛ ∅ ⎞⎛      A,C,E,G,I,K,M,O      ⎞
⎝ b ⎠⎝ c,d,e,f,g,h,i,j,k,l,m,n,o ⎠</t>
  </si>
  <si>
    <t>| ∅ ||      A,C,E,G,I,K,M,O      |
| o || b,c,d,e,f,g,h,i,j,k,l,m,n |</t>
  </si>
  <si>
    <t>|      A,C,E,G,I,K,M,O      || ∅ |
| c,d,e,f,g,h,i,j,k,l,m,n,o || b |</t>
  </si>
  <si>
    <t>ACEGIKMO_{t+1}|BCDEFGHIJKLMN_{t}</t>
  </si>
  <si>
    <t>⎛ ∅ ⎞⎛     A,C,E,G,I,K,M,O     ⎞
⎝ b ⎠⎝ c,d,e,f,g,h,i,j,k,l,m,n ⎠</t>
  </si>
  <si>
    <t>| ∅ ||     A,C,E,G,I,K,M,O     |
| g || b,c,d,e,f,h,i,j,k,l,m,n |</t>
  </si>
  <si>
    <t>|     A,C,E,G,I,K,M,O     || ∅ |
| c,d,e,f,g,h,i,j,k,l,m,n || b |</t>
  </si>
  <si>
    <t>ACEGIKMO_{t+1}|ACEGIKMO_{t}</t>
  </si>
  <si>
    <t>⎛ E ⎞⎛  A,C,G,I,K,M,O  ⎞
⎝ ∅ ⎠⎝ a,c,e,g,i,k,m,o ⎠</t>
  </si>
  <si>
    <t>| E ||  A,C,G,I,K,M,O  |
| ∅ || a,c,e,g,i,k,m,o |</t>
  </si>
  <si>
    <t>|  A,C,G,I,K,M,O  || E |
| a,c,e,g,i,k,m,o || ∅ |</t>
  </si>
  <si>
    <t>ACEGIKMO_{t+1}|BDFHJLN_{t}</t>
  </si>
  <si>
    <t>⎛ G ⎞⎛ A,C,E,I,K,M,O ⎞
⎝ ∅ ⎠⎝ b,d,f,h,j,l,n ⎠</t>
  </si>
  <si>
    <t>| G || A,C,E,I,K,M,O |
| ∅ || b,d,f,h,j,l,n |</t>
  </si>
  <si>
    <t>| A,C,E,I,K,M,O || G |
| b,d,f,h,j,l,n || ∅ |</t>
  </si>
  <si>
    <t>ACEGIKMO_{t+1}|ABDEGHJKMN_{t}</t>
  </si>
  <si>
    <t>⎛ O ⎞⎛    A,C,E,G,I,K,M    ⎞
⎝ ∅ ⎠⎝ a,b,d,e,g,h,j,k,m,n ⎠</t>
  </si>
  <si>
    <t>| O ||    A,C,E,G,I,K,M    |
| ∅ || a,b,d,e,g,h,j,k,m,n |</t>
  </si>
  <si>
    <t>|    A,C,E,G,I,K,M    || O |
| a,b,d,e,g,h,j,k,m,n || ∅ |</t>
  </si>
  <si>
    <t>BDFHJLN_{t+1}|ABCDEFGHIJKLMNO_{t}</t>
  </si>
  <si>
    <t>⎛ ∅ ⎞⎛        B,D,F,H,J,L,N        ⎞
⎝ a ⎠⎝ b,c,d,e,f,g,h,i,j,k,l,m,n,o ⎠</t>
  </si>
  <si>
    <t>| ∅ ||        B,D,F,H,J,L,N        |
| i || a,b,c,d,e,f,g,h,j,k,l,m,n,o |</t>
  </si>
  <si>
    <t>|        B,D,F,H,J,L,N        || ∅ |
| b,c,d,e,f,g,h,i,j,k,l,m,n,o || a |</t>
  </si>
  <si>
    <t>BDFHJLN_{t+1}|ABCDEFGHIJKLMN_{t}</t>
  </si>
  <si>
    <t>⎛ ∅ ⎞⎛       B,D,F,H,J,L,N       ⎞
⎝ a ⎠⎝ b,c,d,e,f,g,h,i,j,k,l,m,n ⎠</t>
  </si>
  <si>
    <t>| ∅ ||       B,D,F,H,J,L,N       |
| g || a,b,c,d,e,f,h,i,j,k,l,m,n |</t>
  </si>
  <si>
    <t>|       B,D,F,H,J,L,N       || ∅ |
| b,c,d,e,f,g,h,i,j,k,l,m,n || a |</t>
  </si>
  <si>
    <t>BDFHJLN_{t+1}|BCDEFGHIJKLMNO_{t}</t>
  </si>
  <si>
    <t>⎛ ∅ ⎞⎛       B,D,F,H,J,L,N       ⎞
⎝ b ⎠⎝ c,d,e,f,g,h,i,j,k,l,m,n,o ⎠</t>
  </si>
  <si>
    <t>| ∅ ||       B,D,F,H,J,L,N       |
| o || b,c,d,e,f,g,h,i,j,k,l,m,n |</t>
  </si>
  <si>
    <t>|       B,D,F,H,J,L,N       || ∅ |
| c,d,e,f,g,h,i,j,k,l,m,n,o || b |</t>
  </si>
  <si>
    <t>BDFHJLN_{t+1}|BCDEFGHIJKLMN_{t}</t>
  </si>
  <si>
    <t>⎛ ∅ ⎞⎛      B,D,F,H,J,L,N      ⎞
⎝ b ⎠⎝ c,d,e,f,g,h,i,j,k,l,m,n ⎠</t>
  </si>
  <si>
    <t>| ∅ ||      B,D,F,H,J,L,N      |
| g || b,c,d,e,f,h,i,j,k,l,m,n |</t>
  </si>
  <si>
    <t>|      B,D,F,H,J,L,N      || ∅ |
| c,d,e,f,g,h,i,j,k,l,m,n || b |</t>
  </si>
  <si>
    <t>BDFHJLN_{t+1}|ACEGIKMO_{t}</t>
  </si>
  <si>
    <t>⎛ L ⎞⎛   B,D,F,H,J,N   ⎞
⎝ ∅ ⎠⎝ a,c,e,g,i,k,m,o ⎠</t>
  </si>
  <si>
    <t>| L ||   B,D,F,H,J,N   |
| ∅ || a,c,e,g,i,k,m,o |</t>
  </si>
  <si>
    <t>|   B,D,F,H,J,N   || L |
| a,c,e,g,i,k,m,o || ∅ |</t>
  </si>
  <si>
    <t>BDFHJLN_{t+1}|BDFHJLN_{t}</t>
  </si>
  <si>
    <t>⎛ N ⎞⎛  B,D,F,H,J,L  ⎞
⎝ ∅ ⎠⎝ b,d,f,h,j,l,n ⎠</t>
  </si>
  <si>
    <t>| N ||  B,D,F,H,J,L  |
| ∅ || b,d,f,h,j,l,n |</t>
  </si>
  <si>
    <t>|  B,D,F,H,J,L  || N |
| b,d,f,h,j,l,n || ∅ |</t>
  </si>
  <si>
    <t>BDFHJLN_{t+1}|ABDEGHJKMN_{t}</t>
  </si>
  <si>
    <t>⎛ N ⎞⎛     B,D,F,H,J,L     ⎞
⎝ ∅ ⎠⎝ a,b,d,e,g,h,j,k,m,n ⎠</t>
  </si>
  <si>
    <t>| N ||     B,D,F,H,J,L     |
| ∅ || a,b,d,e,g,h,j,k,m,n |</t>
  </si>
  <si>
    <t>|     B,D,F,H,J,L     || N |
| a,b,d,e,g,h,j,k,m,n || ∅ |</t>
  </si>
  <si>
    <t>ABDEGHJKMN_{t+1}|ABCDEFGHIJKLMNO_{t}</t>
  </si>
  <si>
    <t>⎛ ∅ ⎞⎛     A,B,D,E,G,H,J,K,M,N     ⎞
⎝ a ⎠⎝ b,c,d,e,f,g,h,i,j,k,l,m,n,o ⎠</t>
  </si>
  <si>
    <t>| ∅ ||     A,B,D,E,G,H,J,K,M,N     |
| o || a,b,c,d,e,f,g,h,i,j,k,l,m,n |</t>
  </si>
  <si>
    <t>|     A,B,D,E,G,H,J,K,M,N     || ∅ |
| b,c,d,e,f,g,h,i,j,k,l,m,n,o || a |</t>
  </si>
  <si>
    <t>ABDEGHJKMN_{t+1}|ABCDEFGHIJKLMN_{t}</t>
  </si>
  <si>
    <t>⎛ ∅ ⎞⎛    A,B,D,E,G,H,J,K,M,N    ⎞
⎝ a ⎠⎝ b,c,d,e,f,g,h,i,j,k,l,m,n ⎠</t>
  </si>
  <si>
    <t>| ∅ ||    A,B,D,E,G,H,J,K,M,N    |
| g || a,b,c,d,e,f,h,i,j,k,l,m,n |</t>
  </si>
  <si>
    <t>|    A,B,D,E,G,H,J,K,M,N    || ∅ |
| b,c,d,e,f,g,h,i,j,k,l,m,n || a |</t>
  </si>
  <si>
    <t>ABDEGHJKMN_{t+1}|BCDEFGHIJKLMNO_{t}</t>
  </si>
  <si>
    <t>⎛ ∅ ⎞⎛    A,B,D,E,G,H,J,K,M,N    ⎞
⎝ b ⎠⎝ c,d,e,f,g,h,i,j,k,l,m,n,o ⎠</t>
  </si>
  <si>
    <t>| ∅ ||    A,B,D,E,G,H,J,K,M,N    |
| o || b,c,d,e,f,g,h,i,j,k,l,m,n |</t>
  </si>
  <si>
    <t>|    A,B,D,E,G,H,J,K,M,N    || ∅ |
| c,d,e,f,g,h,i,j,k,l,m,n,o || b |</t>
  </si>
  <si>
    <t>ABDEGHJKMN_{t+1}|BCDEFGHIJKLMN_{t}</t>
  </si>
  <si>
    <t>⎛ ∅ ⎞⎛   A,B,D,E,G,H,J,K,M,N   ⎞
⎝ b ⎠⎝ c,d,e,f,g,h,i,j,k,l,m,n ⎠</t>
  </si>
  <si>
    <t>| ∅ ||   A,B,D,E,G,H,J,K,M,N   |
| g || b,c,d,e,f,h,i,j,k,l,m,n |</t>
  </si>
  <si>
    <t>|   A,B,D,E,G,H,J,K,M,N   || ∅ |
| c,d,e,f,g,h,i,j,k,l,m,n || b |</t>
  </si>
  <si>
    <t>ABDEGHJKMN_{t+1}|ACEGIKMO_{t}</t>
  </si>
  <si>
    <t>⎛ E ⎞⎛ A,B,D,G,H,J,K,M,N ⎞
⎝ ∅ ⎠⎝  a,c,e,g,i,k,m,o  ⎠</t>
  </si>
  <si>
    <t>| E || A,B,D,G,H,J,K,M,N |
| ∅ ||  a,c,e,g,i,k,m,o  |</t>
  </si>
  <si>
    <t>| A,B,D,G,H,J,K,M,N || E |
|  a,c,e,g,i,k,m,o  || ∅ |</t>
  </si>
  <si>
    <t>ABDEGHJKMN_{t+1}|BDFHJLN_{t}</t>
  </si>
  <si>
    <t>⎛ G ⎞⎛ A,B,D,E,H,J,K,M,N ⎞
⎝ ∅ ⎠⎝   b,d,f,h,j,l,n   ⎠</t>
  </si>
  <si>
    <t>| G || A,B,D,E,H,J,K,M,N |
| ∅ ||   b,d,f,h,j,l,n   |</t>
  </si>
  <si>
    <t>| A,B,D,E,H,J,K,M,N || G |
|   b,d,f,h,j,l,n   || ∅ |</t>
  </si>
  <si>
    <t>ABDEGHJKMN_{t+1}|ABDEGHJKMN_{t}</t>
  </si>
  <si>
    <t>⎛ N ⎞⎛  A,B,D,E,G,H,J,K,M  ⎞
⎝ ∅ ⎠⎝ a,b,d,e,g,h,j,k,m,n ⎠</t>
  </si>
  <si>
    <t>| N ||  A,B,D,E,G,H,J,K,M  |
| ∅ || a,b,d,e,g,h,j,k,m,n |</t>
  </si>
  <si>
    <t>|  A,B,D,E,G,H,J,K,M  || N |
| a,b,d,e,g,h,j,k,m,n || ∅ |</t>
  </si>
  <si>
    <t>BCDEFGJKLMNO_{t+1}|BCDEFGHIJKLMNO_{t}</t>
  </si>
  <si>
    <t>⎛ ∅ ⎞⎛  B,C,D,E,F,G,J,K,L,M,N,O  ⎞
⎝ b ⎠⎝ c,d,e,f,g,h,i,j,k,l,m,n,o ⎠</t>
  </si>
  <si>
    <t>| ∅ ||  B,C,D,E,F,G,J,K,L,M,N,O  |
| o || b,c,d,e,f,g,h,i,j,k,l,m,n |</t>
  </si>
  <si>
    <t>|  B,C,D,E,F,G,J,K,L,M,N,O  || ∅ |
| c,d,e,f,g,h,i,j,k,l,m,n,o || b |</t>
  </si>
  <si>
    <t>/samples/N15B.csv</t>
  </si>
  <si>
    <t>| ∅ || A,B,C,D,E,F,G,H,I,J,K,L,M,N,O |
| o ||  a,b,c,d,e,f,g,h,i,j,k,l,m,n  |</t>
  </si>
  <si>
    <t>| ∅ || A,B,C,D,E,F,G,H,I,J,K,L,M,N,O |
| l ||   a,b,c,d,e,f,g,h,i,j,k,m,n   |</t>
  </si>
  <si>
    <t>| ∅ || A,B,C,D,E,F,G,H,I,J,K,L,M,N,O |
| n ||    b,c,d,e,f,g,h,i,j,k,l,m    |</t>
  </si>
  <si>
    <t>| N || A,B,C,D,E,F,G,H,I,J,K,L,M,O |
| ∅ ||       a,c,e,g,i,k,m,o       |</t>
  </si>
  <si>
    <t>| A,B,C,D,E,F,G,H,I,J,K,L,M,O || N |
|       a,c,e,g,i,k,m,o       || ∅ |</t>
  </si>
  <si>
    <t>| L || A,B,C,D,E,F,G,H,I,J,K,M,N,O |
| ∅ ||        b,d,f,h,j,l,n        |</t>
  </si>
  <si>
    <t>| A,B,C,D,E,F,G,H,I,J,K,M,N,O || L |
|        b,d,f,h,j,l,n        || ∅ |</t>
  </si>
  <si>
    <t>| D || A,B,C,E,F,G,H,I,J,K,L,M,N,O |
| ∅ ||     a,b,d,e,g,h,j,k,m,n     |</t>
  </si>
  <si>
    <t>| A,B,C,E,F,G,H,I,J,K,L,M,N,O || D |
|     a,b,d,e,g,h,j,k,m,n     || ∅ |</t>
  </si>
  <si>
    <t>| ∅ || A,B,C,D,E,F,G,H,I,J,K,L,M,N |
| l ||  a,b,c,d,e,f,g,h,i,j,k,m,n  |</t>
  </si>
  <si>
    <t>| ∅ || A,B,C,D,E,F,G,H,I,J,K,L,M,N |
| m ||  b,c,d,e,f,g,h,i,j,k,l,n,o  |</t>
  </si>
  <si>
    <t>⎛ ∅ ⎞⎛ A,B,C,D,E,F,G,H,I,J,K,L,M,N ⎞
⎝ b ⎠⎝   c,d,e,f,g,h,i,j,k,l,m,n   ⎠</t>
  </si>
  <si>
    <t>| ∅ || A,B,C,D,E,F,G,H,I,J,K,L,M,N |
| n ||   b,c,d,e,f,g,h,i,j,k,l,m   |</t>
  </si>
  <si>
    <t>| N || A,B,C,D,E,F,G,H,I,J,K,L,M |
| ∅ ||      a,c,e,g,i,k,m,o      |</t>
  </si>
  <si>
    <t>| A,B,C,D,E,F,G,H,I,J,K,L,M || N |
|      a,c,e,g,i,k,m,o      || ∅ |</t>
  </si>
  <si>
    <t>| L || A,B,C,D,E,F,G,H,I,J,K,M,N |
| ∅ ||       b,d,f,h,j,l,n       |</t>
  </si>
  <si>
    <t>| A,B,C,D,E,F,G,H,I,J,K,M,N || L |
|       b,d,f,h,j,l,n       || ∅ |</t>
  </si>
  <si>
    <t>| D || A,B,C,E,F,G,H,I,J,K,L,M,N |
| ∅ ||    a,b,d,e,g,h,j,k,m,n    |</t>
  </si>
  <si>
    <t>| A,B,C,E,F,G,H,I,J,K,L,M,N || D |
|    a,b,d,e,g,h,j,k,m,n    || ∅ |</t>
  </si>
  <si>
    <t>| ∅ || B,C,D,E,F,G,H,I,J,K,L,M,N,O |
| l ||  a,b,c,d,e,f,g,h,i,j,k,m,n  |</t>
  </si>
  <si>
    <t>| ∅ || B,C,D,E,F,G,H,I,J,K,L,M,N,O |
| n ||  b,c,d,e,f,g,h,i,j,k,l,m,o  |</t>
  </si>
  <si>
    <t>| ∅ || B,C,D,E,F,G,H,I,J,K,L,M,N,O |
| n ||   b,c,d,e,f,g,h,i,j,k,l,m   |</t>
  </si>
  <si>
    <t>| N || B,C,D,E,F,G,H,I,J,K,L,M,O |
| ∅ ||      a,c,e,g,i,k,m,o      |</t>
  </si>
  <si>
    <t>| B,C,D,E,F,G,H,I,J,K,L,M,O || N |
|      a,c,e,g,i,k,m,o      || ∅ |</t>
  </si>
  <si>
    <t>| L || B,C,D,E,F,G,H,I,J,K,M,N,O |
| ∅ ||       b,d,f,h,j,l,n       |</t>
  </si>
  <si>
    <t>| B,C,D,E,F,G,H,I,J,K,M,N,O || L |
|       b,d,f,h,j,l,n       || ∅ |</t>
  </si>
  <si>
    <t>| D || B,C,E,F,G,H,I,J,K,L,M,N,O |
| ∅ ||    a,b,d,e,g,h,j,k,m,n    |</t>
  </si>
  <si>
    <t>| B,C,E,F,G,H,I,J,K,L,M,N,O || D |
|    a,b,d,e,g,h,j,k,m,n    || ∅ |</t>
  </si>
  <si>
    <t>| ∅ || B,C,D,E,F,G,H,I,J,K,L,M,N |
| l || a,b,c,d,e,f,g,h,i,j,k,m,n |</t>
  </si>
  <si>
    <t>| ∅ || B,C,D,E,F,G,H,I,J,K,L,M,N |
| n ||  b,c,d,e,f,g,h,i,j,k,l,m  |</t>
  </si>
  <si>
    <t>| N || B,C,D,E,F,G,H,I,J,K,L,M |
| ∅ ||     a,c,e,g,i,k,m,o     |</t>
  </si>
  <si>
    <t>| B,C,D,E,F,G,H,I,J,K,L,M || N |
|     a,c,e,g,i,k,m,o     || ∅ |</t>
  </si>
  <si>
    <t>| L || B,C,D,E,F,G,H,I,J,K,M,N |
| ∅ ||      b,d,f,h,j,l,n      |</t>
  </si>
  <si>
    <t>| B,C,D,E,F,G,H,I,J,K,M,N || L |
|      b,d,f,h,j,l,n      || ∅ |</t>
  </si>
  <si>
    <t>| D || B,C,E,F,G,H,I,J,K,L,M,N |
| ∅ ||   a,b,d,e,g,h,j,k,m,n   |</t>
  </si>
  <si>
    <t>| B,C,E,F,G,H,I,J,K,L,M,N || D |
|   a,b,d,e,g,h,j,k,m,n   || ∅ |</t>
  </si>
  <si>
    <t>| ∅ ||       A,C,E,G,I,K,M,O       |
| n || a,b,c,d,e,f,g,h,i,j,k,l,m,o |</t>
  </si>
  <si>
    <t>| ∅ ||      A,C,E,G,I,K,M,O      |
| l || a,b,c,d,e,f,g,h,i,j,k,m,n |</t>
  </si>
  <si>
    <t>| ∅ ||      A,C,E,G,I,K,M,O      |
| m || b,c,d,e,f,g,h,i,j,k,l,n,o |</t>
  </si>
  <si>
    <t>| ∅ ||     A,C,E,G,I,K,M,O     |
| l || b,c,d,e,f,g,h,i,j,k,m,n |</t>
  </si>
  <si>
    <t>⎛ M ⎞⎛  A,C,E,G,I,K,O  ⎞
⎝ ∅ ⎠⎝ a,c,e,g,i,k,m,o ⎠</t>
  </si>
  <si>
    <t>| M ||  A,C,E,G,I,K,O  |
| ∅ || a,c,e,g,i,k,m,o |</t>
  </si>
  <si>
    <t>|  A,C,E,G,I,K,O  || M |
| a,c,e,g,i,k,m,o || ∅ |</t>
  </si>
  <si>
    <t>⎛ E ⎞⎛ A,C,G,I,K,M,O ⎞
⎝ ∅ ⎠⎝ b,d,f,h,j,l,n ⎠</t>
  </si>
  <si>
    <t>| E || A,C,G,I,K,M,O |
| ∅ || b,d,f,h,j,l,n |</t>
  </si>
  <si>
    <t>| A,C,G,I,K,M,O || E |
| b,d,f,h,j,l,n || ∅ |</t>
  </si>
  <si>
    <t>⎛ I ⎞⎛    A,C,E,G,K,M,O    ⎞
⎝ ∅ ⎠⎝ a,b,d,e,g,h,j,k,m,n ⎠</t>
  </si>
  <si>
    <t>| I ||    A,C,E,G,K,M,O    |
| ∅ || a,b,d,e,g,h,j,k,m,n |</t>
  </si>
  <si>
    <t>|    A,C,E,G,K,M,O    || I |
| a,b,d,e,g,h,j,k,m,n || ∅ |</t>
  </si>
  <si>
    <t>| ∅ ||        B,D,F,H,J,L,N        |
| h || a,b,c,d,e,f,g,i,j,k,l,m,n,o |</t>
  </si>
  <si>
    <t>| ∅ ||       B,D,F,H,J,L,N       |
| n || a,b,c,d,e,f,g,h,i,j,k,l,m |</t>
  </si>
  <si>
    <t>| ∅ ||      B,D,F,H,J,L,N      |
| m || b,c,d,e,f,g,h,i,j,k,l,n |</t>
  </si>
  <si>
    <t>⎛ N ⎞⎛   B,D,F,H,J,L   ⎞
⎝ ∅ ⎠⎝ a,c,e,g,i,k,m,o ⎠</t>
  </si>
  <si>
    <t>| N ||   B,D,F,H,J,L   |
| ∅ || a,c,e,g,i,k,m,o |</t>
  </si>
  <si>
    <t>|   B,D,F,H,J,L   || N |
| a,c,e,g,i,k,m,o || ∅ |</t>
  </si>
  <si>
    <t>⎛ L ⎞⎛  B,D,F,H,J,N  ⎞
⎝ ∅ ⎠⎝ b,d,f,h,j,l,n ⎠</t>
  </si>
  <si>
    <t>| L ||  B,D,F,H,J,N  |
| ∅ || b,d,f,h,j,l,n |</t>
  </si>
  <si>
    <t>|  B,D,F,H,J,N  || L |
| b,d,f,h,j,l,n || ∅ |</t>
  </si>
  <si>
    <t>⎛ D ⎞⎛     B,F,H,J,L,N     ⎞
⎝ ∅ ⎠⎝ a,b,d,e,g,h,j,k,m,n ⎠</t>
  </si>
  <si>
    <t>| D ||     B,F,H,J,L,N     |
| ∅ || a,b,d,e,g,h,j,k,m,n |</t>
  </si>
  <si>
    <t>|     B,F,H,J,L,N     || D |
| a,b,d,e,g,h,j,k,m,n || ∅ |</t>
  </si>
  <si>
    <t>| ∅ ||     A,B,D,E,G,H,J,K,M,N     |
| n || a,b,c,d,e,f,g,h,i,j,k,l,m,o |</t>
  </si>
  <si>
    <t>| ∅ ||    A,B,D,E,G,H,J,K,M,N    |
| l || a,b,c,d,e,f,g,h,i,j,k,m,n |</t>
  </si>
  <si>
    <t>| ∅ ||   A,B,D,E,G,H,J,K,M,N   |
| n || b,c,d,e,f,g,h,i,j,k,l,m |</t>
  </si>
  <si>
    <t>⎛ N ⎞⎛ A,B,D,E,G,H,J,K,M ⎞
⎝ ∅ ⎠⎝  a,c,e,g,i,k,m,o  ⎠</t>
  </si>
  <si>
    <t>| N || A,B,D,E,G,H,J,K,M |
| ∅ ||  a,c,e,g,i,k,m,o  |</t>
  </si>
  <si>
    <t>| A,B,D,E,G,H,J,K,M || N |
|  a,c,e,g,i,k,m,o  || ∅ |</t>
  </si>
  <si>
    <t>⎛ H ⎞⎛ A,B,D,E,G,J,K,M,N ⎞
⎝ ∅ ⎠⎝   b,d,f,h,j,l,n   ⎠</t>
  </si>
  <si>
    <t>| H || A,B,D,E,G,J,K,M,N |
| ∅ ||   b,d,f,h,j,l,n   |</t>
  </si>
  <si>
    <t>| A,B,D,E,G,J,K,M,N || H |
|   b,d,f,h,j,l,n   || ∅ |</t>
  </si>
  <si>
    <t>⎛ D ⎞⎛  A,B,E,G,H,J,K,M,N  ⎞
⎝ ∅ ⎠⎝ a,b,d,e,g,h,j,k,m,n ⎠</t>
  </si>
  <si>
    <t>| D ||  A,B,E,G,H,J,K,M,N  |
| ∅ || a,b,d,e,g,h,j,k,m,n |</t>
  </si>
  <si>
    <t>|  A,B,E,G,H,J,K,M,N  || D |
| a,b,d,e,g,h,j,k,m,n || ∅ |</t>
  </si>
  <si>
    <t>| ∅ ||  B,C,D,E,F,G,J,K,L,M,N,O  |
| m || b,c,d,e,f,g,h,i,j,k,l,n,o |</t>
  </si>
  <si>
    <t>Sistema candidato: ABCDEFGHIJKLMNOPQRST</t>
  </si>
  <si>
    <t>ABCDEFGHIJKLMNOPQRST_{t+1}|ABCDEFGHIJKLMNOPQRST_{t}</t>
  </si>
  <si>
    <t>| J ||  A,B,C,D,E,F,G,H,I,K,L,M,N,O,P,Q,R,S,T  |
| ∅ || a,b,c,d,e,f,g,h,i,j,k,l,m,n,o,p,q,r,s,t |</t>
  </si>
  <si>
    <t>|  A,B,C,D,E,F,G,H,I,K,L,M,N,O,P,Q,R,S,T  || J |
| a,b,c,d,e,f,g,h,i,j,k,l,m,n,o,p,q,r,s,t || ∅ |</t>
  </si>
  <si>
    <t>ABCDEFGHIJKLMNOPQRST_{t+1}|ABCDEFGHIJKLMNOPQRS_{t}</t>
  </si>
  <si>
    <t>| M || A,B,C,D,E,F,G,H,I,J,K,L,N,O,P,Q,R,S,T |
| ∅ || a,b,c,d,e,f,g,h,i,j,k,l,m,n,o,p,q,r,s |</t>
  </si>
  <si>
    <t>| A,B,C,D,E,F,G,H,I,J,K,L,N,O,P,Q,R,S,T || M |
| a,b,c,d,e,f,g,h,i,j,k,l,m,n,o,p,q,r,s || ∅ |</t>
  </si>
  <si>
    <t>ABCDEFGHIJKLMNOPQRST_{t+1}|BCDEFGHIJKLMNOPQRST_{t}</t>
  </si>
  <si>
    <t>| L || A,B,C,D,E,F,G,H,I,J,K,M,N,O,P,Q,R,S,T |
| ∅ || b,c,d,e,f,g,h,i,j,k,l,m,n,o,p,q,r,s,t |</t>
  </si>
  <si>
    <t>| A,B,C,D,E,F,G,H,I,J,K,M,N,O,P,Q,R,S,T || L |
| b,c,d,e,f,g,h,i,j,k,l,m,n,o,p,q,r,s,t || ∅ |</t>
  </si>
  <si>
    <t>ABCDEFGHIJKLMNOPQRST_{t+1}|BCDEFGHIJKLMNOPQRS_{t}</t>
  </si>
  <si>
    <t>| M || A,B,C,D,E,F,G,H,I,J,K,L,N,O,P,Q,R,S,T |
| ∅ ||  b,c,d,e,f,g,h,i,j,k,l,m,n,o,p,q,r,s  |</t>
  </si>
  <si>
    <t>| A,B,C,D,E,F,G,H,I,J,K,L,N,O,P,Q,R,S,T || M |
|  b,c,d,e,f,g,h,i,j,k,l,m,n,o,p,q,r,s  || ∅ |</t>
  </si>
  <si>
    <t>ABCDEFGHIJKLMNOPQRST_{t+1}|ACEGIKMOQS_{t}</t>
  </si>
  <si>
    <t>| G || A,B,C,D,E,F,H,I,J,K,L,M,N,O,P,Q,R,S,T |
| ∅ ||          a,c,e,g,i,k,m,o,q,s          |</t>
  </si>
  <si>
    <t>| A,B,C,D,E,F,H,I,J,K,L,M,N,O,P,Q,R,S,T || G |
|          a,c,e,g,i,k,m,o,q,s          || ∅ |</t>
  </si>
  <si>
    <t>ABCDEFGHIJKLMNOPQRST_{t+1}|BDFHJLNPRT_{t}</t>
  </si>
  <si>
    <t>| R || A,B,C,D,E,F,G,H,I,J,K,L,M,N,O,P,Q,S,T |
| ∅ ||          b,d,f,h,j,l,n,p,r,t          |</t>
  </si>
  <si>
    <t>| A,B,C,D,E,F,G,H,I,J,K,L,M,N,O,P,Q,S,T || R |
|          b,d,f,h,j,l,n,p,r,t          || ∅ |</t>
  </si>
  <si>
    <t>ABCDEFGHIJKLMNOPQRST_{t+1}|ABDEGHJKMNPQST_{t}</t>
  </si>
  <si>
    <t>| R || A,B,C,D,E,F,G,H,I,J,K,L,M,N,O,P,Q,S,T |
| ∅ ||      a,b,d,e,g,h,j,k,m,n,p,q,s,t      |</t>
  </si>
  <si>
    <t>| A,B,C,D,E,F,G,H,I,J,K,L,M,N,O,P,Q,S,T || R |
|      a,b,d,e,g,h,j,k,m,n,p,q,s,t      || ∅ |</t>
  </si>
  <si>
    <t>ABCDEFGHIJKLMNOPQRS_{t+1}|ABCDEFGHIJKLMNOPQRST_{t}</t>
  </si>
  <si>
    <t>| J ||   A,B,C,D,E,F,G,H,I,K,L,M,N,O,P,Q,R,S   |
| ∅ || a,b,c,d,e,f,g,h,i,j,k,l,m,n,o,p,q,r,s,t |</t>
  </si>
  <si>
    <t>|   A,B,C,D,E,F,G,H,I,K,L,M,N,O,P,Q,R,S   || J |
| a,b,c,d,e,f,g,h,i,j,k,l,m,n,o,p,q,r,s,t || ∅ |</t>
  </si>
  <si>
    <t>ABCDEFGHIJKLMNOPQRS_{t+1}|ABCDEFGHIJKLMNOPQRS_{t}</t>
  </si>
  <si>
    <t>| M ||  A,B,C,D,E,F,G,H,I,J,K,L,N,O,P,Q,R,S  |
| ∅ || a,b,c,d,e,f,g,h,i,j,k,l,m,n,o,p,q,r,s |</t>
  </si>
  <si>
    <t>|  A,B,C,D,E,F,G,H,I,J,K,L,N,O,P,Q,R,S  || M |
| a,b,c,d,e,f,g,h,i,j,k,l,m,n,o,p,q,r,s || ∅ |</t>
  </si>
  <si>
    <t>ABCDEFGHIJKLMNOPQRS_{t+1}|BCDEFGHIJKLMNOPQRST_{t}</t>
  </si>
  <si>
    <t>| L ||  A,B,C,D,E,F,G,H,I,J,K,M,N,O,P,Q,R,S  |
| ∅ || b,c,d,e,f,g,h,i,j,k,l,m,n,o,p,q,r,s,t |</t>
  </si>
  <si>
    <t>|  A,B,C,D,E,F,G,H,I,J,K,M,N,O,P,Q,R,S  || L |
| b,c,d,e,f,g,h,i,j,k,l,m,n,o,p,q,r,s,t || ∅ |</t>
  </si>
  <si>
    <t>ABCDEFGHIJKLMNOPQRS_{t+1}|BCDEFGHIJKLMNOPQRS_{t}</t>
  </si>
  <si>
    <t>| M || A,B,C,D,E,F,G,H,I,J,K,L,N,O,P,Q,R,S |
| ∅ || b,c,d,e,f,g,h,i,j,k,l,m,n,o,p,q,r,s |</t>
  </si>
  <si>
    <t>| A,B,C,D,E,F,G,H,I,J,K,L,N,O,P,Q,R,S || M |
| b,c,d,e,f,g,h,i,j,k,l,m,n,o,p,q,r,s || ∅ |</t>
  </si>
  <si>
    <t>ABCDEFGHIJKLMNOPQRS_{t+1}|ACEGIKMOQS_{t}</t>
  </si>
  <si>
    <t>| G || A,B,C,D,E,F,H,I,J,K,L,M,N,O,P,Q,R,S |
| ∅ ||         a,c,e,g,i,k,m,o,q,s         |</t>
  </si>
  <si>
    <t>| A,B,C,D,E,F,H,I,J,K,L,M,N,O,P,Q,R,S || G |
|         a,c,e,g,i,k,m,o,q,s         || ∅ |</t>
  </si>
  <si>
    <t>ABCDEFGHIJKLMNOPQRS_{t+1}|BDFHJLNPRT_{t}</t>
  </si>
  <si>
    <t>| R || A,B,C,D,E,F,G,H,I,J,K,L,M,N,O,P,Q,S |
| ∅ ||         b,d,f,h,j,l,n,p,r,t         |</t>
  </si>
  <si>
    <t>| A,B,C,D,E,F,G,H,I,J,K,L,M,N,O,P,Q,S || R |
|         b,d,f,h,j,l,n,p,r,t         || ∅ |</t>
  </si>
  <si>
    <t>ABCDEFGHIJKLMNOPQRS_{t+1}|ABDEGHJKMNPQST_{t}</t>
  </si>
  <si>
    <t>| R || A,B,C,D,E,F,G,H,I,J,K,L,M,N,O,P,Q,S |
| ∅ ||     a,b,d,e,g,h,j,k,m,n,p,q,s,t     |</t>
  </si>
  <si>
    <t>| A,B,C,D,E,F,G,H,I,J,K,L,M,N,O,P,Q,S || R |
|     a,b,d,e,g,h,j,k,m,n,p,q,s,t     || ∅ |</t>
  </si>
  <si>
    <t>BCDEFGHIJKLMNOPQRST_{t+1}|ABCDEFGHIJKLMNOPQRST_{t}</t>
  </si>
  <si>
    <t>| J ||   B,C,D,E,F,G,H,I,K,L,M,N,O,P,Q,R,S,T   |
| ∅ || a,b,c,d,e,f,g,h,i,j,k,l,m,n,o,p,q,r,s,t |</t>
  </si>
  <si>
    <t>|   B,C,D,E,F,G,H,I,K,L,M,N,O,P,Q,R,S,T   || J |
| a,b,c,d,e,f,g,h,i,j,k,l,m,n,o,p,q,r,s,t || ∅ |</t>
  </si>
  <si>
    <t>BCDEFGHIJKLMNOPQRST_{t+1}|ABCDEFGHIJKLMNOPQRS_{t}</t>
  </si>
  <si>
    <t>| M ||  B,C,D,E,F,G,H,I,J,K,L,N,O,P,Q,R,S,T  |
| ∅ || a,b,c,d,e,f,g,h,i,j,k,l,m,n,o,p,q,r,s |</t>
  </si>
  <si>
    <t>|  B,C,D,E,F,G,H,I,J,K,L,N,O,P,Q,R,S,T  || M |
| a,b,c,d,e,f,g,h,i,j,k,l,m,n,o,p,q,r,s || ∅ |</t>
  </si>
  <si>
    <t>BCDEFGHIJKLMNOPQRST_{t+1}|BCDEFGHIJKLMNOPQRST_{t}</t>
  </si>
  <si>
    <t>| L ||  B,C,D,E,F,G,H,I,J,K,M,N,O,P,Q,R,S,T  |
| ∅ || b,c,d,e,f,g,h,i,j,k,l,m,n,o,p,q,r,s,t |</t>
  </si>
  <si>
    <t>|  B,C,D,E,F,G,H,I,J,K,M,N,O,P,Q,R,S,T  || L |
| b,c,d,e,f,g,h,i,j,k,l,m,n,o,p,q,r,s,t || ∅ |</t>
  </si>
  <si>
    <t>BCDEFGHIJKLMNOPQRST_{t+1}|BCDEFGHIJKLMNOPQRS_{t}</t>
  </si>
  <si>
    <t>| M || B,C,D,E,F,G,H,I,J,K,L,N,O,P,Q,R,S,T |
| ∅ || b,c,d,e,f,g,h,i,j,k,l,m,n,o,p,q,r,s |</t>
  </si>
  <si>
    <t>| B,C,D,E,F,G,H,I,J,K,L,N,O,P,Q,R,S,T || M |
| b,c,d,e,f,g,h,i,j,k,l,m,n,o,p,q,r,s || ∅ |</t>
  </si>
  <si>
    <t>BCDEFGHIJKLMNOPQRST_{t+1}|ACEGIKMOQS_{t}</t>
  </si>
  <si>
    <t>| G || B,C,D,E,F,H,I,J,K,L,M,N,O,P,Q,R,S,T |
| ∅ ||         a,c,e,g,i,k,m,o,q,s         |</t>
  </si>
  <si>
    <t>| B,C,D,E,F,H,I,J,K,L,M,N,O,P,Q,R,S,T || G |
|         a,c,e,g,i,k,m,o,q,s         || ∅ |</t>
  </si>
  <si>
    <t>BCDEFGHIJKLMNOPQRST_{t+1}|BDFHJLNPRT_{t}</t>
  </si>
  <si>
    <t>| R || B,C,D,E,F,G,H,I,J,K,L,M,N,O,P,Q,S,T |
| ∅ ||         b,d,f,h,j,l,n,p,r,t         |</t>
  </si>
  <si>
    <t>| B,C,D,E,F,G,H,I,J,K,L,M,N,O,P,Q,S,T || R |
|         b,d,f,h,j,l,n,p,r,t         || ∅ |</t>
  </si>
  <si>
    <t>BCDEFGHIJKLMNOPQRST_{t+1}|ABDEGHJKMNPQST_{t}</t>
  </si>
  <si>
    <t>| R || B,C,D,E,F,G,H,I,J,K,L,M,N,O,P,Q,S,T |
| ∅ ||     a,b,d,e,g,h,j,k,m,n,p,q,s,t     |</t>
  </si>
  <si>
    <t>| B,C,D,E,F,G,H,I,J,K,L,M,N,O,P,Q,S,T || R |
|     a,b,d,e,g,h,j,k,m,n,p,q,s,t     || ∅ |</t>
  </si>
  <si>
    <t>BCDEFGHIJKLMNOPQRS_{t+1}|ABCDEFGHIJKLMNOPQRST_{t}</t>
  </si>
  <si>
    <t>| J ||    B,C,D,E,F,G,H,I,K,L,M,N,O,P,Q,R,S    |
| ∅ || a,b,c,d,e,f,g,h,i,j,k,l,m,n,o,p,q,r,s,t |</t>
  </si>
  <si>
    <t>|    B,C,D,E,F,G,H,I,K,L,M,N,O,P,Q,R,S    || J |
| a,b,c,d,e,f,g,h,i,j,k,l,m,n,o,p,q,r,s,t || ∅ |</t>
  </si>
  <si>
    <t>BCDEFGHIJKLMNOPQRS_{t+1}|ABCDEFGHIJKLMNOPQRS_{t}</t>
  </si>
  <si>
    <t>| M ||   B,C,D,E,F,G,H,I,J,K,L,N,O,P,Q,R,S   |
| ∅ || a,b,c,d,e,f,g,h,i,j,k,l,m,n,o,p,q,r,s |</t>
  </si>
  <si>
    <t>|   B,C,D,E,F,G,H,I,J,K,L,N,O,P,Q,R,S   || M |
| a,b,c,d,e,f,g,h,i,j,k,l,m,n,o,p,q,r,s || ∅ |</t>
  </si>
  <si>
    <t>BCDEFGHIJKLMNOPQRS_{t+1}|BCDEFGHIJKLMNOPQRST_{t}</t>
  </si>
  <si>
    <t>| L ||   B,C,D,E,F,G,H,I,J,K,M,N,O,P,Q,R,S   |
| ∅ || b,c,d,e,f,g,h,i,j,k,l,m,n,o,p,q,r,s,t |</t>
  </si>
  <si>
    <t>|   B,C,D,E,F,G,H,I,J,K,M,N,O,P,Q,R,S   || L |
| b,c,d,e,f,g,h,i,j,k,l,m,n,o,p,q,r,s,t || ∅ |</t>
  </si>
  <si>
    <t>BCDEFGHIJKLMNOPQRS_{t+1}|BCDEFGHIJKLMNOPQRS_{t}</t>
  </si>
  <si>
    <t>| M ||  B,C,D,E,F,G,H,I,J,K,L,N,O,P,Q,R,S  |
| ∅ || b,c,d,e,f,g,h,i,j,k,l,m,n,o,p,q,r,s |</t>
  </si>
  <si>
    <t>|  B,C,D,E,F,G,H,I,J,K,L,N,O,P,Q,R,S  || M |
| b,c,d,e,f,g,h,i,j,k,l,m,n,o,p,q,r,s || ∅ |</t>
  </si>
  <si>
    <t>BCDEFGHIJKLMNOPQRS_{t+1}|ACEGIKMOQS_{t}</t>
  </si>
  <si>
    <t>| G || B,C,D,E,F,H,I,J,K,L,M,N,O,P,Q,R,S |
| ∅ ||        a,c,e,g,i,k,m,o,q,s        |</t>
  </si>
  <si>
    <t>| B,C,D,E,F,H,I,J,K,L,M,N,O,P,Q,R,S || G |
|        a,c,e,g,i,k,m,o,q,s        || ∅ |</t>
  </si>
  <si>
    <t>BCDEFGHIJKLMNOPQRS_{t+1}|BDFHJLNPRT_{t}</t>
  </si>
  <si>
    <t>| R || B,C,D,E,F,G,H,I,J,K,L,M,N,O,P,Q,S |
| ∅ ||        b,d,f,h,j,l,n,p,r,t        |</t>
  </si>
  <si>
    <t>| B,C,D,E,F,G,H,I,J,K,L,M,N,O,P,Q,S || R |
|        b,d,f,h,j,l,n,p,r,t        || ∅ |</t>
  </si>
  <si>
    <t>BCDEFGHIJKLMNOPQRS_{t+1}|ABDEGHJKMNPQST_{t}</t>
  </si>
  <si>
    <t>| R || B,C,D,E,F,G,H,I,J,K,L,M,N,O,P,Q,S |
| ∅ ||    a,b,d,e,g,h,j,k,m,n,p,q,s,t    |</t>
  </si>
  <si>
    <t>| B,C,D,E,F,G,H,I,J,K,L,M,N,O,P,Q,S || R |
|    a,b,d,e,g,h,j,k,m,n,p,q,s,t    || ∅ |</t>
  </si>
  <si>
    <t>ACEGIKMOQS_{t+1}|ABCDEFGHIJKLMNOPQRST_{t}</t>
  </si>
  <si>
    <t>| K ||            A,C,E,G,I,M,O,Q,S            |
| ∅ || a,b,c,d,e,f,g,h,i,j,k,l,m,n,o,p,q,r,s,t |</t>
  </si>
  <si>
    <t>|            A,C,E,G,I,M,O,Q,S            || K |
| a,b,c,d,e,f,g,h,i,j,k,l,m,n,o,p,q,r,s,t || ∅ |</t>
  </si>
  <si>
    <t>ACEGIKMOQS_{t+1}|ABCDEFGHIJKLMNOPQRS_{t}</t>
  </si>
  <si>
    <t>| M ||           A,C,E,G,I,K,O,Q,S           |
| ∅ || a,b,c,d,e,f,g,h,i,j,k,l,m,n,o,p,q,r,s |</t>
  </si>
  <si>
    <t>|           A,C,E,G,I,K,O,Q,S           || M |
| a,b,c,d,e,f,g,h,i,j,k,l,m,n,o,p,q,r,s || ∅ |</t>
  </si>
  <si>
    <t>ACEGIKMOQS_{t+1}|BCDEFGHIJKLMNOPQRST_{t}</t>
  </si>
  <si>
    <t>| O ||           A,C,E,G,I,K,M,Q,S           |
| ∅ || b,c,d,e,f,g,h,i,j,k,l,m,n,o,p,q,r,s,t |</t>
  </si>
  <si>
    <t>|           A,C,E,G,I,K,M,Q,S           || O |
| b,c,d,e,f,g,h,i,j,k,l,m,n,o,p,q,r,s,t || ∅ |</t>
  </si>
  <si>
    <t>ACEGIKMOQS_{t+1}|BCDEFGHIJKLMNOPQRS_{t}</t>
  </si>
  <si>
    <t>| M ||          A,C,E,G,I,K,O,Q,S          |
| ∅ || b,c,d,e,f,g,h,i,j,k,l,m,n,o,p,q,r,s |</t>
  </si>
  <si>
    <t>|          A,C,E,G,I,K,O,Q,S          || M |
| b,c,d,e,f,g,h,i,j,k,l,m,n,o,p,q,r,s || ∅ |</t>
  </si>
  <si>
    <t>ACEGIKMOQS_{t+1}|ACEGIKMOQS_{t}</t>
  </si>
  <si>
    <t>⎛ G ⎞⎛  A,C,E,I,K,M,O,Q,S  ⎞
⎝ ∅ ⎠⎝ a,c,e,g,i,k,m,o,q,s ⎠</t>
  </si>
  <si>
    <t>| G ||  A,C,E,I,K,M,O,Q,S  |
| ∅ || a,c,e,g,i,k,m,o,q,s |</t>
  </si>
  <si>
    <t>|  A,C,E,I,K,M,O,Q,S  || G |
| a,c,e,g,i,k,m,o,q,s || ∅ |</t>
  </si>
  <si>
    <t>ACEGIKMOQS_{t+1}|BDFHJLNPRT_{t}</t>
  </si>
  <si>
    <t>⎛ Q ⎞⎛  A,C,E,G,I,K,M,O,S  ⎞
⎝ ∅ ⎠⎝ b,d,f,h,j,l,n,p,r,t ⎠</t>
  </si>
  <si>
    <t>| Q ||  A,C,E,G,I,K,M,O,S  |
| ∅ || b,d,f,h,j,l,n,p,r,t |</t>
  </si>
  <si>
    <t>|  A,C,E,G,I,K,M,O,S  || Q |
| b,d,f,h,j,l,n,p,r,t || ∅ |</t>
  </si>
  <si>
    <t>ACEGIKMOQS_{t+1}|ABDEGHJKMNPQST_{t}</t>
  </si>
  <si>
    <t>| Q ||      A,C,E,G,I,K,M,O,S      |
| ∅ || a,b,d,e,g,h,j,k,m,n,p,q,s,t |</t>
  </si>
  <si>
    <t>|      A,C,E,G,I,K,M,O,S      || Q |
| a,b,d,e,g,h,j,k,m,n,p,q,s,t || ∅ |</t>
  </si>
  <si>
    <t>BDFHJLNPRT_{t+1}|ABCDEFGHIJKLMNOPQRST_{t}</t>
  </si>
  <si>
    <t>| J ||            B,D,F,H,L,N,P,R,T            |
| ∅ || a,b,c,d,e,f,g,h,i,j,k,l,m,n,o,p,q,r,s,t |</t>
  </si>
  <si>
    <t>|            B,D,F,H,L,N,P,R,T            || J |
| a,b,c,d,e,f,g,h,i,j,k,l,m,n,o,p,q,r,s,t || ∅ |</t>
  </si>
  <si>
    <t>BDFHJLNPRT_{t+1}|ABCDEFGHIJKLMNOPQRS_{t}</t>
  </si>
  <si>
    <t>| B ||           D,F,H,J,L,N,P,R,T           |
| ∅ || a,b,c,d,e,f,g,h,i,j,k,l,m,n,o,p,q,r,s |</t>
  </si>
  <si>
    <t>|           D,F,H,J,L,N,P,R,T           || B |
| a,b,c,d,e,f,g,h,i,j,k,l,m,n,o,p,q,r,s || ∅ |</t>
  </si>
  <si>
    <t>BDFHJLNPRT_{t+1}|BCDEFGHIJKLMNOPQRST_{t}</t>
  </si>
  <si>
    <t>| L ||           B,D,F,H,J,N,P,R,T           |
| ∅ || b,c,d,e,f,g,h,i,j,k,l,m,n,o,p,q,r,s,t |</t>
  </si>
  <si>
    <t>|           B,D,F,H,J,N,P,R,T           || L |
| b,c,d,e,f,g,h,i,j,k,l,m,n,o,p,q,r,s,t || ∅ |</t>
  </si>
  <si>
    <t>BDFHJLNPRT_{t+1}|BCDEFGHIJKLMNOPQRS_{t}</t>
  </si>
  <si>
    <t>| B ||          D,F,H,J,L,N,P,R,T          |
| ∅ || b,c,d,e,f,g,h,i,j,k,l,m,n,o,p,q,r,s |</t>
  </si>
  <si>
    <t>|          D,F,H,J,L,N,P,R,T          || B |
| b,c,d,e,f,g,h,i,j,k,l,m,n,o,p,q,r,s || ∅ |</t>
  </si>
  <si>
    <t>BDFHJLNPRT_{t+1}|ACEGIKMOQS_{t}</t>
  </si>
  <si>
    <t>⎛ R ⎞⎛  B,D,F,H,J,L,N,P,T  ⎞
⎝ ∅ ⎠⎝ a,c,e,g,i,k,m,o,q,s ⎠</t>
  </si>
  <si>
    <t>| R ||  B,D,F,H,J,L,N,P,T  |
| ∅ || a,c,e,g,i,k,m,o,q,s |</t>
  </si>
  <si>
    <t>|  B,D,F,H,J,L,N,P,T  || R |
| a,c,e,g,i,k,m,o,q,s || ∅ |</t>
  </si>
  <si>
    <t>BDFHJLNPRT_{t+1}|BDFHJLNPRT_{t}</t>
  </si>
  <si>
    <t>⎛ R ⎞⎛  B,D,F,H,J,L,N,P,T  ⎞
⎝ ∅ ⎠⎝ b,d,f,h,j,l,n,p,r,t ⎠</t>
  </si>
  <si>
    <t>| R ||  B,D,F,H,J,L,N,P,T  |
| ∅ || b,d,f,h,j,l,n,p,r,t |</t>
  </si>
  <si>
    <t>|  B,D,F,H,J,L,N,P,T  || R |
| b,d,f,h,j,l,n,p,r,t || ∅ |</t>
  </si>
  <si>
    <t>BDFHJLNPRT_{t+1}|ABDEGHJKMNPQST_{t}</t>
  </si>
  <si>
    <t>| R ||      B,D,F,H,J,L,N,P,T      |
| ∅ || a,b,d,e,g,h,j,k,m,n,p,q,s,t |</t>
  </si>
  <si>
    <t>|      B,D,F,H,J,L,N,P,T      || R |
| a,b,d,e,g,h,j,k,m,n,p,q,s,t || ∅ |</t>
  </si>
  <si>
    <t>ABDEGHJKMNPQST_{t+1}|ABCDEFGHIJKLMNOPQRST_{t}</t>
  </si>
  <si>
    <t>| J ||        A,B,D,E,G,H,K,M,N,P,Q,S,T        |
| ∅ || a,b,c,d,e,f,g,h,i,j,k,l,m,n,o,p,q,r,s,t |</t>
  </si>
  <si>
    <t>|        A,B,D,E,G,H,K,M,N,P,Q,S,T        || J |
| a,b,c,d,e,f,g,h,i,j,k,l,m,n,o,p,q,r,s,t || ∅ |</t>
  </si>
  <si>
    <t>ABDEGHJKMNPQST_{t+1}|ABCDEFGHIJKLMNOPQRS_{t}</t>
  </si>
  <si>
    <t>| M ||       A,B,D,E,G,H,J,K,N,P,Q,S,T       |
| ∅ || a,b,c,d,e,f,g,h,i,j,k,l,m,n,o,p,q,r,s |</t>
  </si>
  <si>
    <t>|       A,B,D,E,G,H,J,K,N,P,Q,S,T       || M |
| a,b,c,d,e,f,g,h,i,j,k,l,m,n,o,p,q,r,s || ∅ |</t>
  </si>
  <si>
    <t>ABDEGHJKMNPQST_{t+1}|BCDEFGHIJKLMNOPQRST_{t}</t>
  </si>
  <si>
    <t>| E ||       A,B,D,G,H,J,K,M,N,P,Q,S,T       |
| ∅ || b,c,d,e,f,g,h,i,j,k,l,m,n,o,p,q,r,s,t |</t>
  </si>
  <si>
    <t>|       A,B,D,G,H,J,K,M,N,P,Q,S,T       || E |
| b,c,d,e,f,g,h,i,j,k,l,m,n,o,p,q,r,s,t || ∅ |</t>
  </si>
  <si>
    <t>ABDEGHJKMNPQST_{t+1}|BCDEFGHIJKLMNOPQRS_{t}</t>
  </si>
  <si>
    <t>| M ||      A,B,D,E,G,H,J,K,N,P,Q,S,T      |
| ∅ || b,c,d,e,f,g,h,i,j,k,l,m,n,o,p,q,r,s |</t>
  </si>
  <si>
    <t>|      A,B,D,E,G,H,J,K,N,P,Q,S,T      || M |
| b,c,d,e,f,g,h,i,j,k,l,m,n,o,p,q,r,s || ∅ |</t>
  </si>
  <si>
    <t>ABDEGHJKMNPQST_{t+1}|ACEGIKMOQS_{t}</t>
  </si>
  <si>
    <t>| G || A,B,D,E,H,J,K,M,N,P,Q,S,T |
| ∅ ||    a,c,e,g,i,k,m,o,q,s    |</t>
  </si>
  <si>
    <t>| A,B,D,E,H,J,K,M,N,P,Q,S,T || G |
|    a,c,e,g,i,k,m,o,q,s    || ∅ |</t>
  </si>
  <si>
    <t>ABDEGHJKMNPQST_{t+1}|BDFHJLNPRT_{t}</t>
  </si>
  <si>
    <t>| Q || A,B,D,E,G,H,J,K,M,N,P,S,T |
| ∅ ||    b,d,f,h,j,l,n,p,r,t    |</t>
  </si>
  <si>
    <t>| A,B,D,E,G,H,J,K,M,N,P,S,T || Q |
|    b,d,f,h,j,l,n,p,r,t    || ∅ |</t>
  </si>
  <si>
    <t>ABDEGHJKMNPQST_{t+1}|ABDEGHJKMNPQST_{t}</t>
  </si>
  <si>
    <t>| Q ||  A,B,D,E,G,H,J,K,M,N,P,S,T  |
| ∅ || a,b,d,e,g,h,j,k,m,n,p,q,s,t |</t>
  </si>
  <si>
    <t>|  A,B,D,E,G,H,J,K,M,N,P,S,T  || Q |
| a,b,d,e,g,h,j,k,m,n,p,q,s,t || ∅ |</t>
  </si>
  <si>
    <t>ACDEFGHIJKLMNOPQRST_{t+1}|ACDEFGHIJKLMNOPQRST_{t}</t>
  </si>
  <si>
    <t>| M ||  A,C,D,E,F,G,H,I,J,K,L,N,O,P,Q,R,S,T  |
| ∅ || a,c,d,e,f,g,h,i,j,k,l,m,n,o,p,q,r,s,t |</t>
  </si>
  <si>
    <t>|  A,C,D,E,F,G,H,I,J,K,L,N,O,P,Q,R,S,T  || M |
| a,c,d,e,f,g,h,i,j,k,l,m,n,o,p,q,r,s,t || ∅ |</t>
  </si>
  <si>
    <t>procesador</t>
  </si>
  <si>
    <t>RAM</t>
  </si>
  <si>
    <t>S.O</t>
  </si>
  <si>
    <t>11th Gen Intel(R) Core(TM) i7-11370H</t>
  </si>
  <si>
    <t>16Gb</t>
  </si>
  <si>
    <t>windows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</si>
</sst>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0"/>
    <numFmt numFmtId="165" formatCode="0.0000"/>
  </numFmts>
  <fonts count="14">
    <font>
      <sz val="11.0"/>
      <color theme="1"/>
      <name val="Calibri"/>
      <scheme val="minor"/>
    </font>
    <font>
      <sz val="11.0"/>
      <color rgb="FF000000"/>
      <name val="Calibri"/>
    </font>
    <font>
      <sz val="10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  <font>
      <b/>
      <sz val="16.0"/>
      <color rgb="FF000000"/>
      <name val="Calibri"/>
    </font>
    <font/>
    <font>
      <b/>
      <sz val="17.0"/>
      <color rgb="FF000000"/>
      <name val="Calibri"/>
    </font>
    <font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rgb="FF00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A4C2F4"/>
        <bgColor rgb="FFA4C2F4"/>
      </patternFill>
    </fill>
    <fill>
      <patternFill patternType="solid">
        <fgColor rgb="FFFAC090"/>
        <bgColor rgb="FFFAC09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/>
      <top style="thin">
        <color rgb="FFC6C6C6"/>
      </top>
      <bottom style="thin">
        <color rgb="FFC6C6C6"/>
      </bottom>
    </border>
    <border>
      <left style="thin">
        <color rgb="FFFABF8F"/>
      </left>
      <top style="thin">
        <color rgb="FFFABF8F"/>
      </top>
      <bottom style="thin">
        <color rgb="FFFABF8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3" xfId="0" applyAlignment="1" applyFont="1" applyNumberFormat="1">
      <alignment horizontal="right"/>
    </xf>
    <xf borderId="0" fillId="0" fontId="4" numFmtId="0" xfId="0" applyAlignment="1" applyFont="1">
      <alignment horizontal="left"/>
    </xf>
    <xf borderId="0" fillId="0" fontId="1" numFmtId="3" xfId="0" applyAlignment="1" applyFont="1" applyNumberFormat="1">
      <alignment horizontal="right"/>
    </xf>
    <xf borderId="1" fillId="2" fontId="2" numFmtId="0" xfId="0" applyAlignment="1" applyBorder="1" applyFill="1" applyFont="1">
      <alignment horizontal="left"/>
    </xf>
    <xf borderId="2" fillId="3" fontId="5" numFmtId="0" xfId="0" applyAlignment="1" applyBorder="1" applyFill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ill="1" applyFont="1">
      <alignment horizontal="center"/>
    </xf>
    <xf borderId="2" fillId="5" fontId="5" numFmtId="0" xfId="0" applyAlignment="1" applyBorder="1" applyFill="1" applyFont="1">
      <alignment horizontal="center"/>
    </xf>
    <xf borderId="2" fillId="6" fontId="5" numFmtId="0" xfId="0" applyAlignment="1" applyBorder="1" applyFill="1" applyFont="1">
      <alignment horizontal="center"/>
    </xf>
    <xf borderId="2" fillId="7" fontId="5" numFmtId="0" xfId="0" applyAlignment="1" applyBorder="1" applyFill="1" applyFont="1">
      <alignment horizontal="center"/>
    </xf>
    <xf borderId="2" fillId="8" fontId="7" numFmtId="0" xfId="0" applyAlignment="1" applyBorder="1" applyFill="1" applyFont="1">
      <alignment horizontal="center"/>
    </xf>
    <xf borderId="1" fillId="9" fontId="4" numFmtId="0" xfId="0" applyAlignment="1" applyBorder="1" applyFill="1" applyFont="1">
      <alignment horizontal="left"/>
    </xf>
    <xf borderId="1" fillId="3" fontId="4" numFmtId="0" xfId="0" applyAlignment="1" applyBorder="1" applyFont="1">
      <alignment horizontal="left"/>
    </xf>
    <xf borderId="1" fillId="4" fontId="4" numFmtId="0" xfId="0" applyAlignment="1" applyBorder="1" applyFont="1">
      <alignment horizontal="left"/>
    </xf>
    <xf borderId="1" fillId="5" fontId="4" numFmtId="0" xfId="0" applyAlignment="1" applyBorder="1" applyFont="1">
      <alignment horizontal="left"/>
    </xf>
    <xf borderId="1" fillId="6" fontId="4" numFmtId="0" xfId="0" applyAlignment="1" applyBorder="1" applyFont="1">
      <alignment horizontal="left"/>
    </xf>
    <xf borderId="1" fillId="7" fontId="4" numFmtId="0" xfId="0" applyAlignment="1" applyBorder="1" applyFont="1">
      <alignment horizontal="left"/>
    </xf>
    <xf borderId="5" fillId="7" fontId="4" numFmtId="0" xfId="0" applyAlignment="1" applyBorder="1" applyFont="1">
      <alignment horizontal="left"/>
    </xf>
    <xf borderId="1" fillId="8" fontId="4" numFmtId="0" xfId="0" applyAlignment="1" applyBorder="1" applyFont="1">
      <alignment horizontal="left"/>
    </xf>
    <xf borderId="6" fillId="0" fontId="2" numFmtId="0" xfId="0" applyAlignment="1" applyBorder="1" applyFont="1">
      <alignment horizontal="left"/>
    </xf>
    <xf borderId="0" fillId="0" fontId="1" numFmtId="0" xfId="0" applyAlignment="1" applyFont="1">
      <alignment horizontal="left" vertical="center"/>
    </xf>
    <xf borderId="0" fillId="0" fontId="3" numFmtId="164" xfId="0" applyAlignment="1" applyFont="1" applyNumberFormat="1">
      <alignment horizontal="right" vertical="center"/>
    </xf>
    <xf borderId="0" fillId="0" fontId="2" numFmtId="0" xfId="0" applyAlignment="1" applyFont="1">
      <alignment horizontal="left" vertical="center"/>
    </xf>
    <xf borderId="0" fillId="0" fontId="3" numFmtId="165" xfId="0" applyAlignment="1" applyFont="1" applyNumberForma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1" numFmtId="3" xfId="0" applyAlignment="1" applyFont="1" applyNumberFormat="1">
      <alignment horizontal="left" shrinkToFit="0" vertical="center" wrapText="1"/>
    </xf>
    <xf borderId="0" fillId="0" fontId="2" numFmtId="164" xfId="0" applyAlignment="1" applyFont="1" applyNumberFormat="1">
      <alignment horizontal="right" vertical="center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1" xfId="0" applyFont="1" applyNumberFormat="1"/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3" xfId="0" applyAlignment="1" applyFont="1" applyNumberFormat="1">
      <alignment horizontal="left"/>
    </xf>
    <xf borderId="0" fillId="0" fontId="3" numFmtId="3" xfId="0" applyAlignment="1" applyFont="1" applyNumberFormat="1">
      <alignment horizontal="right"/>
    </xf>
    <xf borderId="0" fillId="0" fontId="3" numFmtId="3" xfId="0" applyFont="1" applyNumberFormat="1"/>
    <xf borderId="7" fillId="10" fontId="1" numFmtId="0" xfId="0" applyAlignment="1" applyBorder="1" applyFill="1" applyFont="1">
      <alignment horizontal="left" vertical="center"/>
    </xf>
    <xf borderId="7" fillId="10" fontId="3" numFmtId="165" xfId="0" applyAlignment="1" applyBorder="1" applyFont="1" applyNumberFormat="1">
      <alignment horizontal="left" vertical="center"/>
    </xf>
    <xf borderId="7" fillId="11" fontId="1" numFmtId="0" xfId="0" applyAlignment="1" applyBorder="1" applyFill="1" applyFont="1">
      <alignment horizontal="lef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/>
    </xf>
    <xf borderId="7" fillId="12" fontId="1" numFmtId="0" xfId="0" applyAlignment="1" applyBorder="1" applyFill="1" applyFont="1">
      <alignment horizontal="left" vertical="center"/>
    </xf>
    <xf borderId="7" fillId="12" fontId="3" numFmtId="164" xfId="0" applyAlignment="1" applyBorder="1" applyFont="1" applyNumberFormat="1">
      <alignment horizontal="right" vertical="center"/>
    </xf>
    <xf borderId="0" fillId="0" fontId="3" numFmtId="165" xfId="0" applyFont="1" applyNumberFormat="1"/>
    <xf borderId="0" fillId="0" fontId="3" numFmtId="165" xfId="0" applyAlignment="1" applyFont="1" applyNumberFormat="1">
      <alignment horizontal="right"/>
    </xf>
    <xf borderId="0" fillId="0" fontId="10" numFmtId="0" xfId="0" applyAlignment="1" applyFont="1">
      <alignment horizontal="left"/>
    </xf>
    <xf borderId="0" fillId="0" fontId="4" numFmtId="3" xfId="0" applyAlignment="1" applyFont="1" applyNumberFormat="1">
      <alignment horizontal="left"/>
    </xf>
    <xf borderId="0" fillId="0" fontId="3" numFmtId="0" xfId="0" applyAlignment="1" applyFont="1">
      <alignment horizontal="left"/>
    </xf>
    <xf borderId="1" fillId="2" fontId="10" numFmtId="3" xfId="0" applyAlignment="1" applyBorder="1" applyFont="1" applyNumberFormat="1">
      <alignment horizontal="left"/>
    </xf>
    <xf borderId="1" fillId="2" fontId="10" numFmtId="0" xfId="0" applyAlignment="1" applyBorder="1" applyFont="1">
      <alignment horizontal="left"/>
    </xf>
    <xf borderId="2" fillId="3" fontId="4" numFmtId="0" xfId="0" applyAlignment="1" applyBorder="1" applyFont="1">
      <alignment horizontal="center"/>
    </xf>
    <xf borderId="1" fillId="9" fontId="4" numFmtId="3" xfId="0" applyAlignment="1" applyBorder="1" applyFont="1" applyNumberFormat="1">
      <alignment horizontal="left"/>
    </xf>
    <xf borderId="6" fillId="0" fontId="1" numFmtId="0" xfId="0" applyAlignment="1" applyBorder="1" applyFont="1">
      <alignment horizontal="left"/>
    </xf>
    <xf borderId="7" fillId="12" fontId="1" numFmtId="165" xfId="0" applyAlignment="1" applyBorder="1" applyFont="1" applyNumberFormat="1">
      <alignment horizontal="right" vertical="center"/>
    </xf>
    <xf borderId="7" fillId="12" fontId="3" numFmtId="0" xfId="0" applyAlignment="1" applyBorder="1" applyFont="1">
      <alignment vertical="center"/>
    </xf>
    <xf borderId="7" fillId="12" fontId="11" numFmtId="165" xfId="0" applyAlignment="1" applyBorder="1" applyFont="1" applyNumberFormat="1">
      <alignment horizontal="right" vertical="center"/>
    </xf>
    <xf borderId="0" fillId="0" fontId="2" numFmtId="165" xfId="0" applyAlignment="1" applyFont="1" applyNumberFormat="1">
      <alignment horizontal="right"/>
    </xf>
    <xf borderId="0" fillId="0" fontId="3" numFmtId="3" xfId="0" applyAlignment="1" applyFont="1" applyNumberFormat="1">
      <alignment horizontal="left"/>
    </xf>
    <xf borderId="1" fillId="2" fontId="8" numFmtId="3" xfId="0" applyAlignment="1" applyBorder="1" applyFont="1" applyNumberFormat="1">
      <alignment horizontal="left"/>
    </xf>
    <xf borderId="1" fillId="2" fontId="8" numFmtId="0" xfId="0" applyAlignment="1" applyBorder="1" applyFont="1">
      <alignment horizontal="left"/>
    </xf>
    <xf borderId="7" fillId="12" fontId="2" numFmtId="0" xfId="0" applyAlignment="1" applyBorder="1" applyFont="1">
      <alignment horizontal="left" vertical="center"/>
    </xf>
    <xf borderId="7" fillId="12" fontId="2" numFmtId="165" xfId="0" applyAlignment="1" applyBorder="1" applyFont="1" applyNumberFormat="1">
      <alignment horizontal="left" vertical="center"/>
    </xf>
    <xf borderId="7" fillId="12" fontId="12" numFmtId="165" xfId="0" applyAlignment="1" applyBorder="1" applyFont="1" applyNumberFormat="1">
      <alignment horizontal="left" vertical="center"/>
    </xf>
    <xf borderId="7" fillId="13" fontId="2" numFmtId="0" xfId="0" applyAlignment="1" applyBorder="1" applyFill="1" applyFont="1">
      <alignment horizontal="left"/>
    </xf>
    <xf borderId="7" fillId="13" fontId="3" numFmtId="0" xfId="0" applyBorder="1" applyFont="1"/>
    <xf borderId="0" fillId="0" fontId="13" numFmtId="0" xfId="0" applyAlignment="1" applyFont="1">
      <alignment horizontal="left"/>
    </xf>
    <xf borderId="8" fillId="14" fontId="3" numFmtId="0" xfId="0" applyAlignment="1" applyBorder="1" applyFill="1" applyFont="1">
      <alignment horizontal="center"/>
    </xf>
    <xf borderId="9" fillId="0" fontId="6" numFmtId="0" xfId="0" applyBorder="1" applyFont="1"/>
    <xf borderId="10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hidden="1" min="6" max="6" width="22.43"/>
    <col customWidth="1" hidden="1" min="7" max="7" width="19.43"/>
    <col customWidth="1" hidden="1" min="8" max="8" width="19.29"/>
    <col customWidth="1" hidden="1" min="9" max="9" width="32.86"/>
    <col customWidth="1" hidden="1" min="10" max="10" width="19.43"/>
    <col customWidth="1" hidden="1" min="11" max="11" width="19.29"/>
    <col customWidth="1" min="12" max="12" width="32.86"/>
    <col customWidth="1" min="13" max="14" width="19.29"/>
    <col customWidth="1" hidden="1" min="15" max="15" width="31.71"/>
    <col customWidth="1" hidden="1" min="16" max="16" width="28.14"/>
    <col customWidth="1" hidden="1" min="17" max="17" width="27.86"/>
    <col customWidth="1" min="18" max="18" width="32.86"/>
    <col customWidth="1" min="19" max="20" width="19.29"/>
    <col customWidth="1" min="21" max="28" width="13.57"/>
  </cols>
  <sheetData>
    <row r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>
      <c r="A2" s="5" t="s">
        <v>0</v>
      </c>
      <c r="D2" s="5" t="s">
        <v>1</v>
      </c>
      <c r="E2" s="1">
        <v>100.0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>
      <c r="A3" s="7"/>
      <c r="B3" s="7"/>
      <c r="C3" s="8" t="s">
        <v>2</v>
      </c>
      <c r="D3" s="9"/>
      <c r="E3" s="10"/>
      <c r="F3" s="11" t="s">
        <v>3</v>
      </c>
      <c r="G3" s="9"/>
      <c r="H3" s="10"/>
      <c r="I3" s="12" t="s">
        <v>4</v>
      </c>
      <c r="J3" s="9"/>
      <c r="K3" s="10"/>
      <c r="L3" s="13" t="s">
        <v>3</v>
      </c>
      <c r="M3" s="9"/>
      <c r="N3" s="10"/>
      <c r="O3" s="14" t="s">
        <v>5</v>
      </c>
      <c r="P3" s="9"/>
      <c r="Q3" s="10"/>
      <c r="R3" s="15" t="s">
        <v>6</v>
      </c>
      <c r="S3" s="9"/>
      <c r="T3" s="10"/>
      <c r="U3" s="3"/>
      <c r="V3" s="3"/>
      <c r="W3" s="3"/>
      <c r="X3" s="3"/>
      <c r="Y3" s="3"/>
      <c r="Z3" s="3"/>
      <c r="AA3" s="3"/>
      <c r="AB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8" t="s">
        <v>13</v>
      </c>
      <c r="H4" s="18" t="s">
        <v>14</v>
      </c>
      <c r="I4" s="19" t="s">
        <v>12</v>
      </c>
      <c r="J4" s="19" t="s">
        <v>13</v>
      </c>
      <c r="K4" s="19" t="s">
        <v>15</v>
      </c>
      <c r="L4" s="20" t="s">
        <v>12</v>
      </c>
      <c r="M4" s="20" t="s">
        <v>13</v>
      </c>
      <c r="N4" s="20" t="s">
        <v>16</v>
      </c>
      <c r="O4" s="21" t="s">
        <v>17</v>
      </c>
      <c r="P4" s="21" t="s">
        <v>18</v>
      </c>
      <c r="Q4" s="22" t="s">
        <v>19</v>
      </c>
      <c r="R4" s="23" t="s">
        <v>20</v>
      </c>
      <c r="S4" s="23" t="s">
        <v>21</v>
      </c>
      <c r="T4" s="23" t="s">
        <v>22</v>
      </c>
      <c r="U4" s="3"/>
      <c r="V4" s="3"/>
      <c r="W4" s="3"/>
      <c r="X4" s="3"/>
      <c r="Y4" s="3"/>
      <c r="Z4" s="3"/>
      <c r="AA4" s="3"/>
      <c r="AB4" s="6"/>
    </row>
    <row r="5" ht="30.0" customHeight="1">
      <c r="A5" s="1">
        <v>1.0</v>
      </c>
      <c r="B5" s="24" t="s">
        <v>23</v>
      </c>
      <c r="C5" s="25" t="s">
        <v>24</v>
      </c>
      <c r="D5" s="26">
        <v>0.25</v>
      </c>
      <c r="E5" s="26">
        <v>0.0171108245849609</v>
      </c>
      <c r="F5" s="27"/>
      <c r="G5" s="28"/>
      <c r="H5" s="28"/>
      <c r="I5" s="29"/>
      <c r="J5" s="28"/>
      <c r="K5" s="28"/>
      <c r="L5" s="29" t="s">
        <v>25</v>
      </c>
      <c r="M5" s="28">
        <v>0.25</v>
      </c>
      <c r="N5" s="28">
        <v>0.00995230674743652</v>
      </c>
      <c r="O5" s="30"/>
      <c r="P5" s="31"/>
      <c r="Q5" s="31"/>
      <c r="R5" s="29" t="s">
        <v>26</v>
      </c>
      <c r="S5" s="28">
        <v>0.25</v>
      </c>
      <c r="T5" s="28">
        <v>0.00198912620544433</v>
      </c>
      <c r="U5" s="3">
        <f t="shared" ref="U5:U28" si="1">(ABS(D5-S5)/D5)</f>
        <v>0</v>
      </c>
      <c r="V5" s="3">
        <f t="shared" ref="V5:V28" si="2">E5/T5</f>
        <v>8.602181469</v>
      </c>
      <c r="W5" s="3">
        <v>8.602181469495392</v>
      </c>
      <c r="X5" s="3"/>
      <c r="Y5" s="3"/>
      <c r="Z5" s="3"/>
      <c r="AA5" s="3"/>
      <c r="AB5" s="6"/>
    </row>
    <row r="6" ht="30.0" customHeight="1">
      <c r="A6" s="1">
        <v>2.0</v>
      </c>
      <c r="B6" s="24" t="s">
        <v>27</v>
      </c>
      <c r="C6" s="25" t="s">
        <v>28</v>
      </c>
      <c r="D6" s="26">
        <v>0.25</v>
      </c>
      <c r="E6" s="26">
        <v>0.010000467300415</v>
      </c>
      <c r="F6" s="27"/>
      <c r="G6" s="28"/>
      <c r="H6" s="28"/>
      <c r="I6" s="29"/>
      <c r="J6" s="28"/>
      <c r="K6" s="28"/>
      <c r="L6" s="29" t="s">
        <v>29</v>
      </c>
      <c r="M6" s="28">
        <v>0.25</v>
      </c>
      <c r="N6" s="28">
        <v>0.0101153850555419</v>
      </c>
      <c r="O6" s="32"/>
      <c r="P6" s="31"/>
      <c r="Q6" s="31"/>
      <c r="R6" s="29" t="s">
        <v>30</v>
      </c>
      <c r="S6" s="28">
        <v>0.25</v>
      </c>
      <c r="T6" s="28">
        <v>9.8729133605957E-4</v>
      </c>
      <c r="U6" s="3">
        <f t="shared" si="1"/>
        <v>0</v>
      </c>
      <c r="V6" s="3">
        <f t="shared" si="2"/>
        <v>10.12919585</v>
      </c>
      <c r="W6" s="3">
        <v>10.129195846413872</v>
      </c>
      <c r="X6" s="3"/>
      <c r="Y6" s="3"/>
      <c r="Z6" s="3"/>
      <c r="AA6" s="3"/>
      <c r="AB6" s="6"/>
    </row>
    <row r="7" ht="30.0" customHeight="1">
      <c r="A7" s="1">
        <v>3.0</v>
      </c>
      <c r="B7" s="24" t="s">
        <v>31</v>
      </c>
      <c r="C7" s="25" t="s">
        <v>32</v>
      </c>
      <c r="D7" s="26">
        <v>0.0</v>
      </c>
      <c r="E7" s="26">
        <v>0.00651717185974121</v>
      </c>
      <c r="F7" s="27"/>
      <c r="G7" s="28"/>
      <c r="H7" s="28"/>
      <c r="I7" s="29"/>
      <c r="J7" s="28"/>
      <c r="K7" s="28"/>
      <c r="L7" s="29" t="s">
        <v>33</v>
      </c>
      <c r="M7" s="28">
        <v>0.0</v>
      </c>
      <c r="N7" s="28">
        <v>0.0</v>
      </c>
      <c r="O7" s="32"/>
      <c r="P7" s="31"/>
      <c r="Q7" s="31"/>
      <c r="R7" s="29" t="s">
        <v>34</v>
      </c>
      <c r="S7" s="28">
        <v>0.0</v>
      </c>
      <c r="T7" s="28">
        <v>9.96589660644531E-4</v>
      </c>
      <c r="U7" s="3" t="str">
        <f t="shared" si="1"/>
        <v>#DIV/0!</v>
      </c>
      <c r="V7" s="3">
        <f t="shared" si="2"/>
        <v>6.539473684</v>
      </c>
      <c r="W7" s="3">
        <v>6.5394736842105265</v>
      </c>
      <c r="X7" s="3"/>
      <c r="Y7" s="3"/>
      <c r="Z7" s="3"/>
      <c r="AA7" s="3"/>
      <c r="AB7" s="6"/>
    </row>
    <row r="8" ht="30.0" customHeight="1">
      <c r="A8" s="1">
        <v>4.0</v>
      </c>
      <c r="B8" s="24" t="s">
        <v>35</v>
      </c>
      <c r="C8" s="25" t="s">
        <v>36</v>
      </c>
      <c r="D8" s="26">
        <v>0.0</v>
      </c>
      <c r="E8" s="26">
        <v>0.0032203197479248</v>
      </c>
      <c r="F8" s="27"/>
      <c r="G8" s="28"/>
      <c r="H8" s="28"/>
      <c r="I8" s="29"/>
      <c r="J8" s="28"/>
      <c r="K8" s="28"/>
      <c r="L8" s="29" t="s">
        <v>37</v>
      </c>
      <c r="M8" s="28">
        <v>0.0</v>
      </c>
      <c r="N8" s="28">
        <v>0.0</v>
      </c>
      <c r="O8" s="32"/>
      <c r="P8" s="31"/>
      <c r="Q8" s="31"/>
      <c r="R8" s="29" t="s">
        <v>38</v>
      </c>
      <c r="S8" s="28">
        <v>0.0</v>
      </c>
      <c r="T8" s="28">
        <v>0.00100588798522949</v>
      </c>
      <c r="U8" s="3" t="str">
        <f t="shared" si="1"/>
        <v>#DIV/0!</v>
      </c>
      <c r="V8" s="3">
        <f t="shared" si="2"/>
        <v>3.201469543</v>
      </c>
      <c r="W8" s="3">
        <v>3.201469542545629</v>
      </c>
      <c r="X8" s="3"/>
      <c r="Y8" s="3"/>
      <c r="Z8" s="3"/>
      <c r="AA8" s="3"/>
      <c r="AB8" s="6"/>
    </row>
    <row r="9" ht="30.0" customHeight="1">
      <c r="A9" s="1">
        <v>5.0</v>
      </c>
      <c r="B9" s="24" t="s">
        <v>39</v>
      </c>
      <c r="C9" s="25" t="s">
        <v>40</v>
      </c>
      <c r="D9" s="26">
        <v>0.0</v>
      </c>
      <c r="E9" s="26">
        <v>0.0</v>
      </c>
      <c r="F9" s="27"/>
      <c r="G9" s="28"/>
      <c r="H9" s="28"/>
      <c r="I9" s="29"/>
      <c r="J9" s="28"/>
      <c r="K9" s="28"/>
      <c r="L9" s="29" t="s">
        <v>41</v>
      </c>
      <c r="M9" s="28">
        <v>0.0</v>
      </c>
      <c r="N9" s="28">
        <v>0.0</v>
      </c>
      <c r="O9" s="33"/>
      <c r="P9" s="26"/>
      <c r="Q9" s="26"/>
      <c r="R9" s="29" t="s">
        <v>42</v>
      </c>
      <c r="S9" s="28">
        <v>0.0</v>
      </c>
      <c r="T9" s="28">
        <v>9.96351242065429E-4</v>
      </c>
      <c r="U9" s="3" t="str">
        <f t="shared" si="1"/>
        <v>#DIV/0!</v>
      </c>
      <c r="V9" s="3">
        <f t="shared" si="2"/>
        <v>0</v>
      </c>
      <c r="W9" s="3">
        <v>1.2845693779904275</v>
      </c>
      <c r="X9" s="3"/>
      <c r="Y9" s="3"/>
      <c r="Z9" s="3"/>
      <c r="AA9" s="3"/>
      <c r="AB9" s="6"/>
    </row>
    <row r="10" ht="30.0" customHeight="1">
      <c r="A10" s="1">
        <v>6.0</v>
      </c>
      <c r="B10" s="24" t="s">
        <v>43</v>
      </c>
      <c r="C10" s="25" t="s">
        <v>44</v>
      </c>
      <c r="D10" s="26">
        <v>0.0</v>
      </c>
      <c r="E10" s="26">
        <v>0.0</v>
      </c>
      <c r="F10" s="27"/>
      <c r="G10" s="28"/>
      <c r="H10" s="28"/>
      <c r="I10" s="29"/>
      <c r="J10" s="28"/>
      <c r="K10" s="28"/>
      <c r="L10" s="29" t="s">
        <v>45</v>
      </c>
      <c r="M10" s="28">
        <v>0.0</v>
      </c>
      <c r="N10" s="28">
        <v>0.0</v>
      </c>
      <c r="O10" s="32"/>
      <c r="P10" s="31"/>
      <c r="Q10" s="31"/>
      <c r="R10" s="29" t="s">
        <v>45</v>
      </c>
      <c r="S10" s="28">
        <v>0.0</v>
      </c>
      <c r="T10" s="28">
        <v>8.83102416992187E-4</v>
      </c>
      <c r="U10" s="3" t="str">
        <f t="shared" si="1"/>
        <v>#DIV/0!</v>
      </c>
      <c r="V10" s="3">
        <f t="shared" si="2"/>
        <v>0</v>
      </c>
      <c r="W10" s="3">
        <v>3.100023929169658</v>
      </c>
      <c r="X10" s="3"/>
      <c r="Y10" s="3"/>
      <c r="Z10" s="3"/>
      <c r="AA10" s="3"/>
      <c r="AB10" s="6"/>
    </row>
    <row r="11" ht="30.0" customHeight="1">
      <c r="A11" s="1">
        <v>7.0</v>
      </c>
      <c r="B11" s="24" t="s">
        <v>46</v>
      </c>
      <c r="C11" s="25" t="s">
        <v>47</v>
      </c>
      <c r="D11" s="26">
        <v>0.0</v>
      </c>
      <c r="E11" s="26">
        <v>0.00256037712097167</v>
      </c>
      <c r="F11" s="27"/>
      <c r="G11" s="28"/>
      <c r="H11" s="28"/>
      <c r="I11" s="29"/>
      <c r="J11" s="28"/>
      <c r="K11" s="28"/>
      <c r="L11" s="29" t="s">
        <v>48</v>
      </c>
      <c r="M11" s="28">
        <v>0.0</v>
      </c>
      <c r="N11" s="28">
        <v>0.0</v>
      </c>
      <c r="O11" s="32"/>
      <c r="P11" s="31"/>
      <c r="Q11" s="31"/>
      <c r="R11" s="29" t="s">
        <v>48</v>
      </c>
      <c r="S11" s="28">
        <v>0.0</v>
      </c>
      <c r="T11" s="28">
        <v>0.00199317932128906</v>
      </c>
      <c r="U11" s="3" t="str">
        <f t="shared" si="1"/>
        <v>#DIV/0!</v>
      </c>
      <c r="V11" s="3">
        <f t="shared" si="2"/>
        <v>1.284569378</v>
      </c>
      <c r="W11" s="3">
        <v>3.874551113239162</v>
      </c>
      <c r="X11" s="3"/>
      <c r="Y11" s="3"/>
      <c r="Z11" s="3"/>
      <c r="AA11" s="3"/>
      <c r="AB11" s="6"/>
    </row>
    <row r="12" ht="30.0" customHeight="1">
      <c r="A12" s="1">
        <v>8.0</v>
      </c>
      <c r="B12" s="24" t="s">
        <v>49</v>
      </c>
      <c r="C12" s="25" t="s">
        <v>50</v>
      </c>
      <c r="D12" s="26">
        <v>0.25</v>
      </c>
      <c r="E12" s="26">
        <v>0.0</v>
      </c>
      <c r="F12" s="27"/>
      <c r="G12" s="28"/>
      <c r="H12" s="28"/>
      <c r="I12" s="29"/>
      <c r="J12" s="28"/>
      <c r="K12" s="28"/>
      <c r="L12" s="29" t="s">
        <v>51</v>
      </c>
      <c r="M12" s="28">
        <v>0.25</v>
      </c>
      <c r="N12" s="28">
        <v>0.00972223281860351</v>
      </c>
      <c r="O12" s="32"/>
      <c r="P12" s="31"/>
      <c r="Q12" s="31"/>
      <c r="R12" s="29" t="s">
        <v>52</v>
      </c>
      <c r="S12" s="28">
        <v>0.25</v>
      </c>
      <c r="T12" s="28">
        <v>9.95397567749023E-4</v>
      </c>
      <c r="U12" s="3">
        <f t="shared" si="1"/>
        <v>0</v>
      </c>
      <c r="V12" s="3">
        <f t="shared" si="2"/>
        <v>0</v>
      </c>
      <c r="W12" s="3">
        <v>6.804737975592249</v>
      </c>
      <c r="X12" s="3"/>
      <c r="Y12" s="3"/>
      <c r="Z12" s="3"/>
      <c r="AA12" s="3"/>
      <c r="AB12" s="6"/>
    </row>
    <row r="13" ht="30.0" customHeight="1">
      <c r="A13" s="1">
        <v>9.0</v>
      </c>
      <c r="B13" s="24" t="s">
        <v>53</v>
      </c>
      <c r="C13" s="25" t="s">
        <v>54</v>
      </c>
      <c r="D13" s="26">
        <v>0.0</v>
      </c>
      <c r="E13" s="26">
        <v>0.00308871269226074</v>
      </c>
      <c r="F13" s="27"/>
      <c r="G13" s="28"/>
      <c r="H13" s="28"/>
      <c r="I13" s="29"/>
      <c r="J13" s="28"/>
      <c r="K13" s="28"/>
      <c r="L13" s="29" t="s">
        <v>55</v>
      </c>
      <c r="M13" s="28">
        <v>0.0</v>
      </c>
      <c r="N13" s="28">
        <v>0.0</v>
      </c>
      <c r="O13" s="32"/>
      <c r="P13" s="31"/>
      <c r="Q13" s="31"/>
      <c r="R13" s="29" t="s">
        <v>56</v>
      </c>
      <c r="S13" s="28">
        <v>0.0</v>
      </c>
      <c r="T13" s="28">
        <v>9.96351242065429E-4</v>
      </c>
      <c r="U13" s="3" t="str">
        <f t="shared" si="1"/>
        <v>#DIV/0!</v>
      </c>
      <c r="V13" s="3">
        <f t="shared" si="2"/>
        <v>3.100023929</v>
      </c>
      <c r="W13" s="3">
        <f>AVERAGE(W5:W12)</f>
        <v>5.442025367</v>
      </c>
      <c r="X13" s="3"/>
      <c r="Y13" s="3"/>
      <c r="Z13" s="3"/>
      <c r="AA13" s="3"/>
      <c r="AB13" s="6"/>
    </row>
    <row r="14" ht="30.0" customHeight="1">
      <c r="A14" s="1">
        <v>10.0</v>
      </c>
      <c r="B14" s="24" t="s">
        <v>57</v>
      </c>
      <c r="C14" s="25" t="s">
        <v>58</v>
      </c>
      <c r="D14" s="26">
        <v>0.0</v>
      </c>
      <c r="E14" s="26">
        <v>0.0</v>
      </c>
      <c r="F14" s="27"/>
      <c r="G14" s="28"/>
      <c r="H14" s="28"/>
      <c r="I14" s="29"/>
      <c r="J14" s="28"/>
      <c r="K14" s="28"/>
      <c r="L14" s="29" t="s">
        <v>59</v>
      </c>
      <c r="M14" s="28">
        <v>0.0</v>
      </c>
      <c r="N14" s="28">
        <v>0.0</v>
      </c>
      <c r="O14" s="32"/>
      <c r="P14" s="31"/>
      <c r="Q14" s="31"/>
      <c r="R14" s="29" t="s">
        <v>59</v>
      </c>
      <c r="S14" s="28">
        <v>0.0</v>
      </c>
      <c r="T14" s="28">
        <v>9.97066497802734E-4</v>
      </c>
      <c r="U14" s="3" t="str">
        <f t="shared" si="1"/>
        <v>#DIV/0!</v>
      </c>
      <c r="V14" s="3">
        <f t="shared" si="2"/>
        <v>0</v>
      </c>
      <c r="W14" s="3"/>
      <c r="X14" s="3"/>
      <c r="Y14" s="3"/>
      <c r="Z14" s="3"/>
      <c r="AA14" s="3"/>
      <c r="AB14" s="6"/>
    </row>
    <row r="15" ht="30.0" customHeight="1">
      <c r="A15" s="1">
        <v>11.0</v>
      </c>
      <c r="B15" s="24" t="s">
        <v>60</v>
      </c>
      <c r="C15" s="25" t="s">
        <v>61</v>
      </c>
      <c r="D15" s="26">
        <v>0.0</v>
      </c>
      <c r="E15" s="26">
        <v>0.0</v>
      </c>
      <c r="F15" s="27"/>
      <c r="G15" s="28"/>
      <c r="H15" s="28"/>
      <c r="I15" s="29"/>
      <c r="J15" s="28"/>
      <c r="K15" s="28"/>
      <c r="L15" s="29" t="s">
        <v>62</v>
      </c>
      <c r="M15" s="28">
        <v>0.0</v>
      </c>
      <c r="N15" s="28">
        <v>0.0102303028106689</v>
      </c>
      <c r="O15" s="32"/>
      <c r="P15" s="31"/>
      <c r="Q15" s="31"/>
      <c r="R15" s="29" t="s">
        <v>63</v>
      </c>
      <c r="S15" s="28">
        <v>0.0</v>
      </c>
      <c r="T15" s="28">
        <v>0.00200057029724121</v>
      </c>
      <c r="U15" s="3" t="str">
        <f t="shared" si="1"/>
        <v>#DIV/0!</v>
      </c>
      <c r="V15" s="3">
        <f t="shared" si="2"/>
        <v>0</v>
      </c>
      <c r="W15" s="3"/>
      <c r="X15" s="3"/>
      <c r="Y15" s="3"/>
      <c r="Z15" s="3"/>
      <c r="AA15" s="3"/>
      <c r="AB15" s="6"/>
    </row>
    <row r="16" ht="30.0" customHeight="1">
      <c r="A16" s="1">
        <v>12.0</v>
      </c>
      <c r="B16" s="24" t="s">
        <v>64</v>
      </c>
      <c r="C16" s="25" t="s">
        <v>65</v>
      </c>
      <c r="D16" s="26">
        <v>0.25</v>
      </c>
      <c r="E16" s="26">
        <v>0.0</v>
      </c>
      <c r="F16" s="27"/>
      <c r="G16" s="28"/>
      <c r="H16" s="28"/>
      <c r="I16" s="29"/>
      <c r="J16" s="28"/>
      <c r="K16" s="28"/>
      <c r="L16" s="29" t="s">
        <v>66</v>
      </c>
      <c r="M16" s="28">
        <v>0.25</v>
      </c>
      <c r="N16" s="28">
        <v>0.0</v>
      </c>
      <c r="O16" s="32"/>
      <c r="P16" s="31"/>
      <c r="Q16" s="31"/>
      <c r="R16" s="29" t="s">
        <v>67</v>
      </c>
      <c r="S16" s="28">
        <v>0.25</v>
      </c>
      <c r="T16" s="28">
        <v>9.98497009277343E-4</v>
      </c>
      <c r="U16" s="3">
        <f t="shared" si="1"/>
        <v>0</v>
      </c>
      <c r="V16" s="3">
        <f t="shared" si="2"/>
        <v>0</v>
      </c>
      <c r="W16" s="3"/>
      <c r="X16" s="3"/>
      <c r="Y16" s="3"/>
      <c r="Z16" s="3"/>
      <c r="AA16" s="3"/>
      <c r="AB16" s="6"/>
    </row>
    <row r="17" ht="30.0" customHeight="1">
      <c r="A17" s="1">
        <v>13.0</v>
      </c>
      <c r="B17" s="24" t="s">
        <v>68</v>
      </c>
      <c r="C17" s="25" t="s">
        <v>69</v>
      </c>
      <c r="D17" s="26">
        <v>0.0</v>
      </c>
      <c r="E17" s="26">
        <v>0.0</v>
      </c>
      <c r="F17" s="27"/>
      <c r="G17" s="28"/>
      <c r="H17" s="28"/>
      <c r="I17" s="29"/>
      <c r="J17" s="28"/>
      <c r="K17" s="28"/>
      <c r="L17" s="29" t="s">
        <v>70</v>
      </c>
      <c r="M17" s="28">
        <v>0.0</v>
      </c>
      <c r="N17" s="28">
        <v>0.0</v>
      </c>
      <c r="O17" s="32"/>
      <c r="P17" s="31"/>
      <c r="Q17" s="31"/>
      <c r="R17" s="29" t="s">
        <v>71</v>
      </c>
      <c r="S17" s="28">
        <v>0.0</v>
      </c>
      <c r="T17" s="28">
        <v>9.3245506286621E-4</v>
      </c>
      <c r="U17" s="3" t="str">
        <f t="shared" si="1"/>
        <v>#DIV/0!</v>
      </c>
      <c r="V17" s="3">
        <f t="shared" si="2"/>
        <v>0</v>
      </c>
      <c r="W17" s="3"/>
      <c r="X17" s="3"/>
      <c r="Y17" s="3"/>
      <c r="Z17" s="3"/>
      <c r="AA17" s="3"/>
      <c r="AB17" s="6"/>
    </row>
    <row r="18" ht="30.0" customHeight="1">
      <c r="A18" s="1">
        <v>14.0</v>
      </c>
      <c r="B18" s="24" t="s">
        <v>72</v>
      </c>
      <c r="C18" s="25" t="s">
        <v>73</v>
      </c>
      <c r="D18" s="26">
        <v>0.0</v>
      </c>
      <c r="E18" s="26">
        <v>0.00385856628417968</v>
      </c>
      <c r="F18" s="27"/>
      <c r="G18" s="28"/>
      <c r="H18" s="28"/>
      <c r="I18" s="29"/>
      <c r="J18" s="28"/>
      <c r="K18" s="28"/>
      <c r="L18" s="29" t="s">
        <v>74</v>
      </c>
      <c r="M18" s="28">
        <v>0.0</v>
      </c>
      <c r="N18" s="28">
        <v>0.0</v>
      </c>
      <c r="O18" s="32"/>
      <c r="P18" s="31"/>
      <c r="Q18" s="31"/>
      <c r="R18" s="29" t="s">
        <v>75</v>
      </c>
      <c r="S18" s="28">
        <v>0.0</v>
      </c>
      <c r="T18" s="28">
        <v>9.95874404907226E-4</v>
      </c>
      <c r="U18" s="3" t="str">
        <f t="shared" si="1"/>
        <v>#DIV/0!</v>
      </c>
      <c r="V18" s="3">
        <f t="shared" si="2"/>
        <v>3.874551113</v>
      </c>
      <c r="W18" s="3"/>
      <c r="X18" s="3"/>
      <c r="Y18" s="3"/>
      <c r="Z18" s="3"/>
      <c r="AA18" s="3"/>
      <c r="AB18" s="6"/>
    </row>
    <row r="19" ht="30.0" customHeight="1">
      <c r="A19" s="1">
        <v>15.0</v>
      </c>
      <c r="B19" s="24" t="s">
        <v>76</v>
      </c>
      <c r="C19" s="25" t="s">
        <v>77</v>
      </c>
      <c r="D19" s="26">
        <v>0.0</v>
      </c>
      <c r="E19" s="26">
        <v>0.0</v>
      </c>
      <c r="F19" s="27"/>
      <c r="G19" s="28"/>
      <c r="H19" s="28"/>
      <c r="I19" s="29"/>
      <c r="J19" s="28"/>
      <c r="K19" s="28"/>
      <c r="L19" s="29" t="s">
        <v>78</v>
      </c>
      <c r="M19" s="28">
        <v>0.0</v>
      </c>
      <c r="N19" s="28">
        <v>0.0</v>
      </c>
      <c r="O19" s="32"/>
      <c r="P19" s="31"/>
      <c r="Q19" s="31"/>
      <c r="R19" s="29" t="s">
        <v>79</v>
      </c>
      <c r="S19" s="28">
        <v>0.0</v>
      </c>
      <c r="T19" s="28">
        <v>0.00185918807983398</v>
      </c>
      <c r="U19" s="3" t="str">
        <f t="shared" si="1"/>
        <v>#DIV/0!</v>
      </c>
      <c r="V19" s="3">
        <f t="shared" si="2"/>
        <v>0</v>
      </c>
      <c r="W19" s="3"/>
      <c r="X19" s="3"/>
      <c r="Y19" s="3"/>
      <c r="Z19" s="3"/>
      <c r="AA19" s="3"/>
      <c r="AB19" s="6"/>
    </row>
    <row r="20" ht="30.0" customHeight="1">
      <c r="A20" s="1">
        <v>16.0</v>
      </c>
      <c r="B20" s="24" t="s">
        <v>80</v>
      </c>
      <c r="C20" s="25" t="s">
        <v>81</v>
      </c>
      <c r="D20" s="26">
        <v>0.0</v>
      </c>
      <c r="E20" s="26">
        <v>0.0</v>
      </c>
      <c r="F20" s="27"/>
      <c r="G20" s="28"/>
      <c r="H20" s="28"/>
      <c r="I20" s="29"/>
      <c r="J20" s="28"/>
      <c r="K20" s="28"/>
      <c r="L20" s="29" t="s">
        <v>82</v>
      </c>
      <c r="M20" s="28">
        <v>0.0</v>
      </c>
      <c r="N20" s="28">
        <v>0.0</v>
      </c>
      <c r="O20" s="32"/>
      <c r="P20" s="31"/>
      <c r="Q20" s="31"/>
      <c r="R20" s="29" t="s">
        <v>83</v>
      </c>
      <c r="S20" s="28">
        <v>0.0</v>
      </c>
      <c r="T20" s="28">
        <v>9.97304916381836E-4</v>
      </c>
      <c r="U20" s="3" t="str">
        <f t="shared" si="1"/>
        <v>#DIV/0!</v>
      </c>
      <c r="V20" s="3">
        <f t="shared" si="2"/>
        <v>0</v>
      </c>
      <c r="W20" s="3"/>
      <c r="X20" s="3"/>
      <c r="Y20" s="3"/>
      <c r="Z20" s="3"/>
      <c r="AA20" s="3"/>
      <c r="AB20" s="6"/>
    </row>
    <row r="21" ht="30.0" customHeight="1">
      <c r="A21" s="1">
        <v>17.0</v>
      </c>
      <c r="B21" s="24" t="s">
        <v>84</v>
      </c>
      <c r="C21" s="25" t="s">
        <v>85</v>
      </c>
      <c r="D21" s="26">
        <v>0.0</v>
      </c>
      <c r="E21" s="26">
        <v>0.0</v>
      </c>
      <c r="F21" s="27"/>
      <c r="G21" s="28"/>
      <c r="H21" s="28"/>
      <c r="I21" s="29"/>
      <c r="J21" s="28"/>
      <c r="K21" s="28"/>
      <c r="L21" s="29" t="s">
        <v>86</v>
      </c>
      <c r="M21" s="28">
        <v>0.0</v>
      </c>
      <c r="N21" s="28">
        <v>0.0</v>
      </c>
      <c r="O21" s="32"/>
      <c r="P21" s="31"/>
      <c r="Q21" s="31"/>
      <c r="R21" s="29" t="s">
        <v>86</v>
      </c>
      <c r="S21" s="28">
        <v>0.0</v>
      </c>
      <c r="T21" s="28">
        <v>0.0</v>
      </c>
      <c r="U21" s="3" t="str">
        <f t="shared" si="1"/>
        <v>#DIV/0!</v>
      </c>
      <c r="V21" s="3" t="str">
        <f t="shared" si="2"/>
        <v>#DIV/0!</v>
      </c>
      <c r="W21" s="3"/>
      <c r="X21" s="3"/>
      <c r="Y21" s="3"/>
      <c r="Z21" s="3"/>
      <c r="AA21" s="3"/>
      <c r="AB21" s="6"/>
    </row>
    <row r="22" ht="30.0" customHeight="1">
      <c r="A22" s="1">
        <v>18.0</v>
      </c>
      <c r="B22" s="24" t="s">
        <v>87</v>
      </c>
      <c r="C22" s="25" t="s">
        <v>88</v>
      </c>
      <c r="D22" s="26">
        <v>0.0</v>
      </c>
      <c r="E22" s="26">
        <v>0.0</v>
      </c>
      <c r="F22" s="27"/>
      <c r="G22" s="28"/>
      <c r="H22" s="28"/>
      <c r="I22" s="29"/>
      <c r="J22" s="28"/>
      <c r="K22" s="28"/>
      <c r="L22" s="29" t="s">
        <v>89</v>
      </c>
      <c r="M22" s="28">
        <v>0.0</v>
      </c>
      <c r="N22" s="28">
        <v>0.0</v>
      </c>
      <c r="O22" s="32"/>
      <c r="P22" s="31"/>
      <c r="Q22" s="31"/>
      <c r="R22" s="29" t="s">
        <v>89</v>
      </c>
      <c r="S22" s="28">
        <v>0.0</v>
      </c>
      <c r="T22" s="28">
        <v>2.57730484008789E-4</v>
      </c>
      <c r="U22" s="3" t="str">
        <f t="shared" si="1"/>
        <v>#DIV/0!</v>
      </c>
      <c r="V22" s="3">
        <f t="shared" si="2"/>
        <v>0</v>
      </c>
      <c r="W22" s="3"/>
      <c r="X22" s="3"/>
      <c r="Y22" s="3"/>
      <c r="Z22" s="3"/>
      <c r="AA22" s="3"/>
      <c r="AB22" s="6"/>
    </row>
    <row r="23" ht="30.0" customHeight="1">
      <c r="A23" s="1">
        <v>19.0</v>
      </c>
      <c r="B23" s="24" t="s">
        <v>90</v>
      </c>
      <c r="C23" s="25" t="s">
        <v>91</v>
      </c>
      <c r="D23" s="26">
        <v>0.0</v>
      </c>
      <c r="E23" s="26">
        <v>0.00155329704284667</v>
      </c>
      <c r="F23" s="27"/>
      <c r="G23" s="28"/>
      <c r="H23" s="28"/>
      <c r="I23" s="29"/>
      <c r="J23" s="28"/>
      <c r="K23" s="28"/>
      <c r="L23" s="29" t="s">
        <v>92</v>
      </c>
      <c r="M23" s="28">
        <v>0.0</v>
      </c>
      <c r="N23" s="28">
        <v>0.0</v>
      </c>
      <c r="O23" s="32"/>
      <c r="P23" s="31"/>
      <c r="Q23" s="31"/>
      <c r="R23" s="29" t="s">
        <v>93</v>
      </c>
      <c r="S23" s="28">
        <v>0.0</v>
      </c>
      <c r="T23" s="28">
        <v>0.0</v>
      </c>
      <c r="U23" s="3" t="str">
        <f t="shared" si="1"/>
        <v>#DIV/0!</v>
      </c>
      <c r="V23" s="3" t="str">
        <f t="shared" si="2"/>
        <v>#DIV/0!</v>
      </c>
      <c r="W23" s="3"/>
      <c r="X23" s="3"/>
      <c r="Y23" s="3"/>
      <c r="Z23" s="3"/>
      <c r="AA23" s="3"/>
      <c r="AB23" s="6"/>
    </row>
    <row r="24" ht="30.0" customHeight="1">
      <c r="A24" s="1">
        <v>20.0</v>
      </c>
      <c r="B24" s="24" t="s">
        <v>94</v>
      </c>
      <c r="C24" s="25" t="s">
        <v>95</v>
      </c>
      <c r="D24" s="26">
        <v>0.0</v>
      </c>
      <c r="E24" s="26">
        <v>0.0</v>
      </c>
      <c r="F24" s="27"/>
      <c r="G24" s="28"/>
      <c r="H24" s="28"/>
      <c r="I24" s="29"/>
      <c r="J24" s="28"/>
      <c r="K24" s="28"/>
      <c r="L24" s="29" t="s">
        <v>96</v>
      </c>
      <c r="M24" s="28">
        <v>0.0</v>
      </c>
      <c r="N24" s="28">
        <v>0.0</v>
      </c>
      <c r="O24" s="32"/>
      <c r="P24" s="31"/>
      <c r="Q24" s="31"/>
      <c r="R24" s="29" t="s">
        <v>96</v>
      </c>
      <c r="S24" s="28">
        <v>0.0</v>
      </c>
      <c r="T24" s="28">
        <v>9.90867614746093E-4</v>
      </c>
      <c r="U24" s="3" t="str">
        <f t="shared" si="1"/>
        <v>#DIV/0!</v>
      </c>
      <c r="V24" s="34">
        <f t="shared" si="2"/>
        <v>0</v>
      </c>
      <c r="W24" s="3"/>
      <c r="X24" s="3"/>
      <c r="Y24" s="3"/>
      <c r="Z24" s="3"/>
      <c r="AA24" s="3"/>
      <c r="AB24" s="6"/>
    </row>
    <row r="25" ht="30.0" customHeight="1">
      <c r="A25" s="1">
        <v>21.0</v>
      </c>
      <c r="B25" s="24" t="s">
        <v>97</v>
      </c>
      <c r="C25" s="25" t="s">
        <v>98</v>
      </c>
      <c r="D25" s="26">
        <v>0.5</v>
      </c>
      <c r="E25" s="26">
        <v>0.0</v>
      </c>
      <c r="F25" s="27"/>
      <c r="G25" s="28"/>
      <c r="H25" s="28"/>
      <c r="I25" s="29"/>
      <c r="J25" s="28"/>
      <c r="K25" s="28"/>
      <c r="L25" s="29" t="s">
        <v>99</v>
      </c>
      <c r="M25" s="28">
        <v>0.5</v>
      </c>
      <c r="N25" s="28">
        <v>0.0</v>
      </c>
      <c r="O25" s="32"/>
      <c r="P25" s="31"/>
      <c r="Q25" s="31"/>
      <c r="R25" s="29" t="s">
        <v>100</v>
      </c>
      <c r="S25" s="28">
        <v>0.5</v>
      </c>
      <c r="T25" s="28">
        <v>0.00204801559448242</v>
      </c>
      <c r="U25" s="3">
        <f t="shared" si="1"/>
        <v>0</v>
      </c>
      <c r="V25" s="3">
        <f t="shared" si="2"/>
        <v>0</v>
      </c>
      <c r="W25" s="3"/>
      <c r="X25" s="3"/>
      <c r="Y25" s="3"/>
      <c r="Z25" s="3"/>
      <c r="AA25" s="3"/>
      <c r="AB25" s="6"/>
    </row>
    <row r="26" ht="30.0" customHeight="1">
      <c r="A26" s="1">
        <v>22.0</v>
      </c>
      <c r="B26" s="24" t="s">
        <v>101</v>
      </c>
      <c r="C26" s="25" t="s">
        <v>102</v>
      </c>
      <c r="D26" s="26">
        <v>0.25</v>
      </c>
      <c r="E26" s="26">
        <v>0.0</v>
      </c>
      <c r="F26" s="27"/>
      <c r="G26" s="28"/>
      <c r="H26" s="28"/>
      <c r="I26" s="29"/>
      <c r="J26" s="28"/>
      <c r="K26" s="28"/>
      <c r="L26" s="29" t="s">
        <v>103</v>
      </c>
      <c r="M26" s="28">
        <v>0.25</v>
      </c>
      <c r="N26" s="28">
        <v>0.0</v>
      </c>
      <c r="O26" s="32"/>
      <c r="P26" s="31"/>
      <c r="Q26" s="31"/>
      <c r="R26" s="29" t="s">
        <v>104</v>
      </c>
      <c r="S26" s="28">
        <v>0.25</v>
      </c>
      <c r="T26" s="28">
        <v>9.99689102172851E-4</v>
      </c>
      <c r="U26" s="3">
        <f t="shared" si="1"/>
        <v>0</v>
      </c>
      <c r="V26" s="3">
        <f t="shared" si="2"/>
        <v>0</v>
      </c>
      <c r="W26" s="3"/>
      <c r="X26" s="3"/>
      <c r="Y26" s="3"/>
      <c r="Z26" s="3"/>
      <c r="AA26" s="3"/>
      <c r="AB26" s="6"/>
    </row>
    <row r="27" ht="30.0" customHeight="1">
      <c r="A27" s="1">
        <v>23.0</v>
      </c>
      <c r="B27" s="24" t="s">
        <v>105</v>
      </c>
      <c r="C27" s="25" t="s">
        <v>106</v>
      </c>
      <c r="D27" s="26">
        <v>0.0</v>
      </c>
      <c r="E27" s="26">
        <v>0.00677990913391113</v>
      </c>
      <c r="F27" s="27"/>
      <c r="G27" s="28"/>
      <c r="H27" s="28"/>
      <c r="I27" s="29"/>
      <c r="J27" s="28"/>
      <c r="K27" s="28"/>
      <c r="L27" s="29" t="s">
        <v>107</v>
      </c>
      <c r="M27" s="28">
        <v>0.0</v>
      </c>
      <c r="N27" s="28">
        <v>0.0</v>
      </c>
      <c r="O27" s="32"/>
      <c r="P27" s="31"/>
      <c r="Q27" s="31"/>
      <c r="R27" s="29" t="s">
        <v>108</v>
      </c>
      <c r="S27" s="28">
        <v>0.0</v>
      </c>
      <c r="T27" s="28">
        <v>9.96351242065429E-4</v>
      </c>
      <c r="U27" s="3" t="str">
        <f t="shared" si="1"/>
        <v>#DIV/0!</v>
      </c>
      <c r="V27" s="3">
        <f t="shared" si="2"/>
        <v>6.804737976</v>
      </c>
      <c r="W27" s="3"/>
      <c r="X27" s="3"/>
      <c r="Y27" s="3"/>
      <c r="Z27" s="3"/>
      <c r="AA27" s="3"/>
      <c r="AB27" s="6"/>
    </row>
    <row r="28" ht="30.0" customHeight="1">
      <c r="A28" s="1">
        <v>24.0</v>
      </c>
      <c r="B28" s="24" t="s">
        <v>109</v>
      </c>
      <c r="C28" s="25" t="s">
        <v>110</v>
      </c>
      <c r="D28" s="26">
        <v>0.0</v>
      </c>
      <c r="E28" s="26">
        <v>0.0</v>
      </c>
      <c r="F28" s="27"/>
      <c r="G28" s="28"/>
      <c r="H28" s="28"/>
      <c r="I28" s="29"/>
      <c r="J28" s="28"/>
      <c r="K28" s="28"/>
      <c r="L28" s="29" t="s">
        <v>111</v>
      </c>
      <c r="M28" s="28">
        <v>0.0</v>
      </c>
      <c r="N28" s="28">
        <v>0.0</v>
      </c>
      <c r="O28" s="32"/>
      <c r="P28" s="31"/>
      <c r="Q28" s="31"/>
      <c r="R28" s="29" t="s">
        <v>112</v>
      </c>
      <c r="S28" s="28">
        <v>0.0</v>
      </c>
      <c r="T28" s="28">
        <v>0.0</v>
      </c>
      <c r="U28" s="3" t="str">
        <f t="shared" si="1"/>
        <v>#DIV/0!</v>
      </c>
      <c r="V28" s="3" t="str">
        <f t="shared" si="2"/>
        <v>#DIV/0!</v>
      </c>
      <c r="W28" s="3"/>
      <c r="X28" s="3"/>
      <c r="Y28" s="3"/>
      <c r="Z28" s="3"/>
      <c r="AA28" s="3"/>
      <c r="AB28" s="6"/>
    </row>
    <row r="29" ht="30.0" customHeight="1">
      <c r="A29" s="1">
        <v>25.0</v>
      </c>
      <c r="B29" s="24"/>
      <c r="C29" s="25"/>
      <c r="D29" s="26"/>
      <c r="E29" s="26"/>
      <c r="F29" s="27"/>
      <c r="G29" s="28"/>
      <c r="H29" s="28"/>
      <c r="I29" s="29"/>
      <c r="J29" s="28"/>
      <c r="K29" s="28"/>
      <c r="L29" s="29"/>
      <c r="M29" s="28"/>
      <c r="N29" s="28"/>
      <c r="O29" s="32"/>
      <c r="P29" s="31"/>
      <c r="Q29" s="31"/>
      <c r="R29" s="29"/>
      <c r="S29" s="28"/>
      <c r="T29" s="28"/>
      <c r="U29" s="3"/>
      <c r="V29" s="3"/>
      <c r="W29" s="3"/>
      <c r="X29" s="3"/>
      <c r="Y29" s="3"/>
      <c r="Z29" s="3"/>
      <c r="AA29" s="3"/>
      <c r="AB29" s="6"/>
    </row>
    <row r="30" ht="30.0" customHeight="1">
      <c r="A30" s="1">
        <v>26.0</v>
      </c>
      <c r="B30" s="35"/>
      <c r="C30" s="25"/>
      <c r="D30" s="26"/>
      <c r="E30" s="26"/>
      <c r="F30" s="27"/>
      <c r="G30" s="28"/>
      <c r="H30" s="28"/>
      <c r="I30" s="29"/>
      <c r="J30" s="28"/>
      <c r="K30" s="28"/>
      <c r="L30" s="29"/>
      <c r="M30" s="28"/>
      <c r="N30" s="28"/>
      <c r="O30" s="32"/>
      <c r="P30" s="31"/>
      <c r="Q30" s="31"/>
      <c r="R30" s="29"/>
      <c r="S30" s="28"/>
      <c r="T30" s="28"/>
      <c r="U30" s="3"/>
      <c r="V30" s="3"/>
      <c r="W30" s="3"/>
      <c r="X30" s="3"/>
      <c r="Y30" s="3"/>
      <c r="Z30" s="3"/>
      <c r="AA30" s="3"/>
      <c r="AB30" s="6"/>
    </row>
    <row r="31" ht="30.0" customHeight="1">
      <c r="A31" s="1">
        <v>27.0</v>
      </c>
      <c r="B31" s="35"/>
      <c r="C31" s="25"/>
      <c r="D31" s="26"/>
      <c r="E31" s="26"/>
      <c r="F31" s="27"/>
      <c r="G31" s="28"/>
      <c r="H31" s="28"/>
      <c r="I31" s="29"/>
      <c r="J31" s="28"/>
      <c r="K31" s="28"/>
      <c r="L31" s="29"/>
      <c r="M31" s="28"/>
      <c r="N31" s="28"/>
      <c r="O31" s="32"/>
      <c r="P31" s="31"/>
      <c r="Q31" s="31"/>
      <c r="R31" s="29"/>
      <c r="S31" s="28" t="s">
        <v>113</v>
      </c>
      <c r="T31" s="28"/>
      <c r="U31" s="3"/>
      <c r="V31" s="3"/>
      <c r="W31" s="3"/>
      <c r="X31" s="3"/>
      <c r="Y31" s="3"/>
      <c r="Z31" s="3"/>
      <c r="AA31" s="3"/>
      <c r="AB31" s="6"/>
    </row>
    <row r="32" ht="30.0" customHeight="1">
      <c r="A32" s="1">
        <v>28.0</v>
      </c>
      <c r="B32" s="35"/>
      <c r="C32" s="25"/>
      <c r="D32" s="26"/>
      <c r="E32" s="26"/>
      <c r="F32" s="27"/>
      <c r="G32" s="28"/>
      <c r="H32" s="28"/>
      <c r="I32" s="29"/>
      <c r="J32" s="28"/>
      <c r="K32" s="28"/>
      <c r="L32" s="29"/>
      <c r="M32" s="28"/>
      <c r="N32" s="28"/>
      <c r="O32" s="32"/>
      <c r="P32" s="31"/>
      <c r="Q32" s="31"/>
      <c r="R32" s="29"/>
      <c r="S32" s="28" t="s">
        <v>114</v>
      </c>
      <c r="T32" s="28"/>
      <c r="U32" s="3"/>
      <c r="V32" s="3"/>
      <c r="W32" s="3"/>
      <c r="X32" s="3"/>
      <c r="Y32" s="3"/>
      <c r="Z32" s="3"/>
      <c r="AA32" s="3"/>
      <c r="AB32" s="6"/>
    </row>
    <row r="33" ht="30.0" customHeight="1">
      <c r="A33" s="1">
        <v>29.0</v>
      </c>
      <c r="B33" s="35"/>
      <c r="C33" s="25"/>
      <c r="D33" s="26"/>
      <c r="E33" s="26"/>
      <c r="F33" s="27"/>
      <c r="G33" s="28"/>
      <c r="H33" s="28"/>
      <c r="I33" s="29"/>
      <c r="J33" s="28"/>
      <c r="K33" s="28"/>
      <c r="L33" s="29"/>
      <c r="M33" s="28"/>
      <c r="N33" s="28"/>
      <c r="O33" s="32"/>
      <c r="P33" s="31"/>
      <c r="Q33" s="31"/>
      <c r="R33" s="29"/>
      <c r="S33" s="28" t="s">
        <v>115</v>
      </c>
      <c r="T33" s="28"/>
      <c r="U33" s="3"/>
      <c r="V33" s="3"/>
      <c r="W33" s="3"/>
      <c r="X33" s="3"/>
      <c r="Y33" s="3"/>
      <c r="Z33" s="3"/>
      <c r="AA33" s="3"/>
      <c r="AB33" s="6"/>
    </row>
    <row r="34" ht="30.0" customHeight="1">
      <c r="A34" s="1">
        <v>30.0</v>
      </c>
      <c r="B34" s="35"/>
      <c r="C34" s="25"/>
      <c r="D34" s="26"/>
      <c r="E34" s="26"/>
      <c r="F34" s="27"/>
      <c r="G34" s="28"/>
      <c r="H34" s="28"/>
      <c r="I34" s="29"/>
      <c r="J34" s="28"/>
      <c r="K34" s="28"/>
      <c r="L34" s="29"/>
      <c r="M34" s="28"/>
      <c r="N34" s="28"/>
      <c r="O34" s="32"/>
      <c r="P34" s="31"/>
      <c r="Q34" s="31"/>
      <c r="R34" s="29"/>
      <c r="S34" s="28"/>
      <c r="T34" s="28"/>
      <c r="U34" s="3"/>
      <c r="V34" s="3"/>
      <c r="W34" s="3"/>
      <c r="X34" s="3"/>
      <c r="Y34" s="3"/>
      <c r="Z34" s="3"/>
      <c r="AA34" s="3"/>
      <c r="AB34" s="6"/>
    </row>
    <row r="35" ht="30.0" customHeight="1">
      <c r="A35" s="1">
        <v>31.0</v>
      </c>
      <c r="B35" s="35"/>
      <c r="C35" s="25"/>
      <c r="D35" s="26"/>
      <c r="E35" s="26"/>
      <c r="F35" s="27"/>
      <c r="G35" s="28"/>
      <c r="H35" s="28"/>
      <c r="I35" s="29"/>
      <c r="J35" s="28"/>
      <c r="K35" s="28"/>
      <c r="L35" s="29"/>
      <c r="M35" s="28"/>
      <c r="N35" s="28"/>
      <c r="O35" s="32"/>
      <c r="P35" s="31"/>
      <c r="Q35" s="31"/>
      <c r="R35" s="29"/>
      <c r="S35" s="28"/>
      <c r="T35" s="28"/>
      <c r="U35" s="3"/>
      <c r="V35" s="3"/>
      <c r="W35" s="3"/>
      <c r="X35" s="3"/>
      <c r="Y35" s="3"/>
      <c r="Z35" s="3"/>
      <c r="AA35" s="3"/>
      <c r="AB35" s="6"/>
    </row>
    <row r="36" ht="30.0" customHeight="1">
      <c r="A36" s="1">
        <v>32.0</v>
      </c>
      <c r="B36" s="35"/>
      <c r="C36" s="25"/>
      <c r="D36" s="26"/>
      <c r="E36" s="26"/>
      <c r="F36" s="27"/>
      <c r="G36" s="28"/>
      <c r="H36" s="28"/>
      <c r="I36" s="29"/>
      <c r="J36" s="28"/>
      <c r="K36" s="28"/>
      <c r="L36" s="29"/>
      <c r="M36" s="28"/>
      <c r="N36" s="28"/>
      <c r="O36" s="32"/>
      <c r="P36" s="31"/>
      <c r="Q36" s="31"/>
      <c r="R36" s="29"/>
      <c r="S36" s="28"/>
      <c r="T36" s="28"/>
      <c r="U36" s="3"/>
      <c r="V36" s="3"/>
      <c r="W36" s="3"/>
      <c r="X36" s="3"/>
      <c r="Y36" s="3"/>
      <c r="Z36" s="3"/>
      <c r="AA36" s="3"/>
      <c r="AB36" s="6"/>
    </row>
    <row r="37" ht="30.0" customHeight="1">
      <c r="A37" s="1">
        <v>33.0</v>
      </c>
      <c r="B37" s="35"/>
      <c r="C37" s="25"/>
      <c r="D37" s="26"/>
      <c r="E37" s="26"/>
      <c r="F37" s="27"/>
      <c r="G37" s="28"/>
      <c r="H37" s="28"/>
      <c r="I37" s="29"/>
      <c r="J37" s="28"/>
      <c r="K37" s="28"/>
      <c r="L37" s="29"/>
      <c r="M37" s="28"/>
      <c r="N37" s="28"/>
      <c r="O37" s="32"/>
      <c r="P37" s="31"/>
      <c r="Q37" s="31"/>
      <c r="R37" s="29"/>
      <c r="S37" s="28"/>
      <c r="T37" s="28"/>
      <c r="U37" s="3"/>
      <c r="V37" s="3"/>
      <c r="W37" s="3"/>
      <c r="X37" s="3"/>
      <c r="Y37" s="3"/>
      <c r="Z37" s="3"/>
      <c r="AA37" s="3"/>
      <c r="AB37" s="6"/>
    </row>
    <row r="38" ht="30.0" customHeight="1">
      <c r="A38" s="1">
        <v>34.0</v>
      </c>
      <c r="B38" s="35"/>
      <c r="C38" s="25"/>
      <c r="D38" s="26"/>
      <c r="E38" s="26"/>
      <c r="F38" s="27"/>
      <c r="G38" s="28"/>
      <c r="H38" s="28"/>
      <c r="I38" s="29"/>
      <c r="J38" s="28"/>
      <c r="K38" s="28"/>
      <c r="L38" s="29"/>
      <c r="M38" s="28"/>
      <c r="N38" s="28"/>
      <c r="O38" s="32"/>
      <c r="P38" s="31"/>
      <c r="Q38" s="31"/>
      <c r="R38" s="29"/>
      <c r="S38" s="28"/>
      <c r="T38" s="28"/>
      <c r="U38" s="3"/>
      <c r="V38" s="3"/>
      <c r="W38" s="3"/>
      <c r="X38" s="3"/>
      <c r="Y38" s="3"/>
      <c r="Z38" s="3"/>
      <c r="AA38" s="3"/>
      <c r="AB38" s="6"/>
    </row>
    <row r="39" ht="30.0" customHeight="1">
      <c r="A39" s="1">
        <v>35.0</v>
      </c>
      <c r="B39" s="35"/>
      <c r="C39" s="25"/>
      <c r="D39" s="26"/>
      <c r="E39" s="26"/>
      <c r="F39" s="27"/>
      <c r="G39" s="28"/>
      <c r="H39" s="28"/>
      <c r="I39" s="29"/>
      <c r="J39" s="28"/>
      <c r="K39" s="28"/>
      <c r="L39" s="29"/>
      <c r="M39" s="28"/>
      <c r="N39" s="28"/>
      <c r="O39" s="32"/>
      <c r="P39" s="31"/>
      <c r="Q39" s="31"/>
      <c r="R39" s="29"/>
      <c r="S39" s="28"/>
      <c r="T39" s="28"/>
      <c r="U39" s="3"/>
      <c r="V39" s="3"/>
      <c r="W39" s="3"/>
      <c r="X39" s="3"/>
      <c r="Y39" s="3"/>
      <c r="Z39" s="3"/>
      <c r="AA39" s="3"/>
      <c r="AB39" s="6"/>
    </row>
    <row r="40" ht="30.0" customHeight="1">
      <c r="A40" s="1">
        <v>36.0</v>
      </c>
      <c r="B40" s="35"/>
      <c r="C40" s="25"/>
      <c r="D40" s="26"/>
      <c r="E40" s="26"/>
      <c r="F40" s="27"/>
      <c r="G40" s="28"/>
      <c r="H40" s="28"/>
      <c r="I40" s="29"/>
      <c r="J40" s="28"/>
      <c r="K40" s="28"/>
      <c r="L40" s="29"/>
      <c r="M40" s="28"/>
      <c r="N40" s="28"/>
      <c r="O40" s="32"/>
      <c r="P40" s="31"/>
      <c r="Q40" s="31"/>
      <c r="R40" s="29"/>
      <c r="S40" s="28"/>
      <c r="T40" s="28"/>
      <c r="U40" s="3"/>
      <c r="V40" s="3"/>
      <c r="W40" s="3"/>
      <c r="X40" s="3"/>
      <c r="Y40" s="3"/>
      <c r="Z40" s="3"/>
      <c r="AA40" s="3"/>
      <c r="AB40" s="6"/>
    </row>
    <row r="41" ht="30.0" customHeight="1">
      <c r="A41" s="1">
        <v>37.0</v>
      </c>
      <c r="B41" s="35"/>
      <c r="C41" s="25"/>
      <c r="D41" s="26"/>
      <c r="E41" s="26"/>
      <c r="F41" s="27"/>
      <c r="G41" s="28"/>
      <c r="H41" s="28"/>
      <c r="I41" s="29"/>
      <c r="J41" s="28"/>
      <c r="K41" s="28"/>
      <c r="L41" s="29"/>
      <c r="M41" s="28"/>
      <c r="N41" s="28"/>
      <c r="O41" s="32"/>
      <c r="P41" s="31"/>
      <c r="Q41" s="31"/>
      <c r="R41" s="29"/>
      <c r="S41" s="28"/>
      <c r="T41" s="28"/>
      <c r="U41" s="3"/>
      <c r="V41" s="3"/>
      <c r="W41" s="3"/>
      <c r="X41" s="3"/>
      <c r="Y41" s="3"/>
      <c r="Z41" s="3"/>
      <c r="AA41" s="3"/>
      <c r="AB41" s="6"/>
    </row>
    <row r="42" ht="30.0" customHeight="1">
      <c r="A42" s="1">
        <v>38.0</v>
      </c>
      <c r="B42" s="35"/>
      <c r="C42" s="25"/>
      <c r="D42" s="26"/>
      <c r="E42" s="26"/>
      <c r="F42" s="27"/>
      <c r="G42" s="28"/>
      <c r="H42" s="28"/>
      <c r="I42" s="29"/>
      <c r="J42" s="28"/>
      <c r="K42" s="28"/>
      <c r="L42" s="29"/>
      <c r="M42" s="28"/>
      <c r="N42" s="28"/>
      <c r="O42" s="32"/>
      <c r="P42" s="31"/>
      <c r="Q42" s="31"/>
      <c r="R42" s="29"/>
      <c r="S42" s="28"/>
      <c r="T42" s="28"/>
      <c r="U42" s="3"/>
      <c r="V42" s="3"/>
      <c r="W42" s="3"/>
      <c r="X42" s="3"/>
      <c r="Y42" s="3"/>
      <c r="Z42" s="3"/>
      <c r="AA42" s="3"/>
      <c r="AB42" s="6"/>
    </row>
    <row r="43" ht="30.0" customHeight="1">
      <c r="A43" s="1">
        <v>39.0</v>
      </c>
      <c r="B43" s="35"/>
      <c r="C43" s="25"/>
      <c r="D43" s="26"/>
      <c r="E43" s="26"/>
      <c r="F43" s="27"/>
      <c r="G43" s="28"/>
      <c r="H43" s="28"/>
      <c r="I43" s="29"/>
      <c r="J43" s="28"/>
      <c r="K43" s="28"/>
      <c r="L43" s="29"/>
      <c r="M43" s="28"/>
      <c r="N43" s="28"/>
      <c r="O43" s="32"/>
      <c r="P43" s="31"/>
      <c r="Q43" s="31"/>
      <c r="R43" s="29"/>
      <c r="S43" s="28"/>
      <c r="T43" s="28"/>
      <c r="U43" s="3"/>
      <c r="V43" s="3"/>
      <c r="W43" s="3"/>
      <c r="X43" s="3"/>
      <c r="Y43" s="3"/>
      <c r="Z43" s="3"/>
      <c r="AA43" s="3"/>
      <c r="AB43" s="6"/>
    </row>
    <row r="44" ht="30.0" customHeight="1">
      <c r="A44" s="1">
        <v>40.0</v>
      </c>
      <c r="B44" s="35"/>
      <c r="C44" s="25"/>
      <c r="D44" s="26"/>
      <c r="E44" s="26"/>
      <c r="F44" s="27"/>
      <c r="G44" s="28"/>
      <c r="H44" s="28"/>
      <c r="I44" s="29"/>
      <c r="J44" s="28"/>
      <c r="K44" s="28"/>
      <c r="L44" s="29"/>
      <c r="M44" s="28"/>
      <c r="N44" s="28"/>
      <c r="O44" s="32"/>
      <c r="P44" s="31"/>
      <c r="Q44" s="31"/>
      <c r="R44" s="29"/>
      <c r="S44" s="28"/>
      <c r="T44" s="28"/>
      <c r="U44" s="3"/>
      <c r="V44" s="3"/>
      <c r="W44" s="3"/>
      <c r="X44" s="3"/>
      <c r="Y44" s="3"/>
      <c r="Z44" s="3"/>
      <c r="AA44" s="3"/>
      <c r="AB44" s="6"/>
    </row>
    <row r="45" ht="30.0" customHeight="1">
      <c r="A45" s="1">
        <v>41.0</v>
      </c>
      <c r="B45" s="35"/>
      <c r="C45" s="25"/>
      <c r="D45" s="26"/>
      <c r="E45" s="26"/>
      <c r="F45" s="27"/>
      <c r="G45" s="28"/>
      <c r="H45" s="28"/>
      <c r="I45" s="29"/>
      <c r="J45" s="28"/>
      <c r="K45" s="28"/>
      <c r="L45" s="29"/>
      <c r="M45" s="28"/>
      <c r="N45" s="28"/>
      <c r="O45" s="32"/>
      <c r="P45" s="31"/>
      <c r="Q45" s="31"/>
      <c r="R45" s="29"/>
      <c r="S45" s="28"/>
      <c r="T45" s="28"/>
      <c r="U45" s="3"/>
      <c r="V45" s="3"/>
      <c r="W45" s="3"/>
      <c r="X45" s="3"/>
      <c r="Y45" s="3"/>
      <c r="Z45" s="3"/>
      <c r="AA45" s="3"/>
      <c r="AB45" s="6"/>
    </row>
    <row r="46" ht="30.0" customHeight="1">
      <c r="A46" s="1">
        <v>42.0</v>
      </c>
      <c r="B46" s="35"/>
      <c r="C46" s="25"/>
      <c r="D46" s="26"/>
      <c r="E46" s="26"/>
      <c r="F46" s="27"/>
      <c r="G46" s="28"/>
      <c r="H46" s="28"/>
      <c r="I46" s="29"/>
      <c r="J46" s="28"/>
      <c r="K46" s="28"/>
      <c r="L46" s="29"/>
      <c r="M46" s="28"/>
      <c r="N46" s="28"/>
      <c r="O46" s="32"/>
      <c r="P46" s="31"/>
      <c r="Q46" s="31"/>
      <c r="R46" s="29"/>
      <c r="S46" s="28"/>
      <c r="T46" s="28"/>
      <c r="U46" s="3"/>
      <c r="V46" s="3"/>
      <c r="W46" s="3"/>
      <c r="X46" s="3"/>
      <c r="Y46" s="3"/>
      <c r="Z46" s="3"/>
      <c r="AA46" s="3"/>
      <c r="AB46" s="6"/>
    </row>
    <row r="47" ht="30.0" customHeight="1">
      <c r="A47" s="1">
        <v>43.0</v>
      </c>
      <c r="B47" s="35"/>
      <c r="C47" s="25"/>
      <c r="D47" s="26"/>
      <c r="E47" s="26"/>
      <c r="F47" s="27"/>
      <c r="G47" s="28"/>
      <c r="H47" s="28"/>
      <c r="I47" s="29"/>
      <c r="J47" s="28"/>
      <c r="K47" s="28"/>
      <c r="L47" s="29"/>
      <c r="M47" s="28"/>
      <c r="N47" s="28"/>
      <c r="O47" s="32"/>
      <c r="P47" s="31"/>
      <c r="Q47" s="31"/>
      <c r="R47" s="29"/>
      <c r="S47" s="28"/>
      <c r="T47" s="28"/>
      <c r="U47" s="3"/>
      <c r="V47" s="3"/>
      <c r="W47" s="3"/>
      <c r="X47" s="3"/>
      <c r="Y47" s="3"/>
      <c r="Z47" s="3"/>
      <c r="AA47" s="3"/>
      <c r="AB47" s="6"/>
    </row>
    <row r="48" ht="30.0" customHeight="1">
      <c r="A48" s="1">
        <v>44.0</v>
      </c>
      <c r="B48" s="35"/>
      <c r="C48" s="25"/>
      <c r="D48" s="26"/>
      <c r="E48" s="26"/>
      <c r="F48" s="27"/>
      <c r="G48" s="28"/>
      <c r="H48" s="28"/>
      <c r="I48" s="29"/>
      <c r="J48" s="28"/>
      <c r="K48" s="28"/>
      <c r="L48" s="29"/>
      <c r="M48" s="28"/>
      <c r="N48" s="28"/>
      <c r="O48" s="32"/>
      <c r="P48" s="31"/>
      <c r="Q48" s="31"/>
      <c r="R48" s="29"/>
      <c r="S48" s="28"/>
      <c r="T48" s="28"/>
      <c r="U48" s="3"/>
      <c r="V48" s="3"/>
      <c r="W48" s="3"/>
      <c r="X48" s="3"/>
      <c r="Y48" s="3"/>
      <c r="Z48" s="3"/>
      <c r="AA48" s="3"/>
      <c r="AB48" s="6"/>
    </row>
    <row r="49" ht="30.0" customHeight="1">
      <c r="A49" s="1">
        <v>45.0</v>
      </c>
      <c r="B49" s="35"/>
      <c r="C49" s="25"/>
      <c r="D49" s="26"/>
      <c r="E49" s="26"/>
      <c r="F49" s="27"/>
      <c r="G49" s="28"/>
      <c r="H49" s="28"/>
      <c r="I49" s="29"/>
      <c r="J49" s="28"/>
      <c r="K49" s="28"/>
      <c r="L49" s="29"/>
      <c r="M49" s="28"/>
      <c r="N49" s="28"/>
      <c r="O49" s="32"/>
      <c r="P49" s="31"/>
      <c r="Q49" s="31"/>
      <c r="R49" s="29"/>
      <c r="S49" s="28"/>
      <c r="T49" s="28"/>
      <c r="U49" s="3"/>
      <c r="V49" s="3"/>
      <c r="W49" s="3"/>
      <c r="X49" s="3"/>
      <c r="Y49" s="3"/>
      <c r="Z49" s="3"/>
      <c r="AA49" s="3"/>
      <c r="AB49" s="6"/>
    </row>
    <row r="50" ht="30.0" customHeight="1">
      <c r="A50" s="1">
        <v>46.0</v>
      </c>
      <c r="B50" s="35"/>
      <c r="C50" s="25"/>
      <c r="D50" s="26"/>
      <c r="E50" s="26"/>
      <c r="F50" s="27"/>
      <c r="G50" s="28"/>
      <c r="H50" s="28"/>
      <c r="I50" s="29"/>
      <c r="J50" s="28"/>
      <c r="K50" s="28"/>
      <c r="L50" s="29"/>
      <c r="M50" s="28"/>
      <c r="N50" s="28"/>
      <c r="O50" s="32"/>
      <c r="P50" s="31"/>
      <c r="Q50" s="31"/>
      <c r="R50" s="29"/>
      <c r="S50" s="28"/>
      <c r="T50" s="28"/>
      <c r="U50" s="3"/>
      <c r="V50" s="3"/>
      <c r="W50" s="3"/>
      <c r="X50" s="3"/>
      <c r="Y50" s="3"/>
      <c r="Z50" s="3"/>
      <c r="AA50" s="3"/>
      <c r="AB50" s="6"/>
    </row>
    <row r="51" ht="30.0" customHeight="1">
      <c r="A51" s="1">
        <v>47.0</v>
      </c>
      <c r="B51" s="35"/>
      <c r="C51" s="25"/>
      <c r="D51" s="26"/>
      <c r="E51" s="26"/>
      <c r="F51" s="27"/>
      <c r="G51" s="28"/>
      <c r="H51" s="28"/>
      <c r="I51" s="29"/>
      <c r="J51" s="28"/>
      <c r="K51" s="28"/>
      <c r="L51" s="29"/>
      <c r="M51" s="28"/>
      <c r="N51" s="28"/>
      <c r="O51" s="32"/>
      <c r="P51" s="31"/>
      <c r="Q51" s="31"/>
      <c r="R51" s="29"/>
      <c r="S51" s="28"/>
      <c r="T51" s="28"/>
      <c r="U51" s="3"/>
      <c r="V51" s="3"/>
      <c r="W51" s="3"/>
      <c r="X51" s="3"/>
      <c r="Y51" s="3"/>
      <c r="Z51" s="3"/>
      <c r="AA51" s="3"/>
      <c r="AB51" s="6"/>
    </row>
    <row r="52" ht="30.0" customHeight="1">
      <c r="A52" s="1">
        <v>48.0</v>
      </c>
      <c r="B52" s="35"/>
      <c r="C52" s="25"/>
      <c r="D52" s="26"/>
      <c r="E52" s="26"/>
      <c r="F52" s="27"/>
      <c r="G52" s="28"/>
      <c r="H52" s="28"/>
      <c r="I52" s="29"/>
      <c r="J52" s="28"/>
      <c r="K52" s="28"/>
      <c r="L52" s="29"/>
      <c r="M52" s="28"/>
      <c r="N52" s="28"/>
      <c r="O52" s="32"/>
      <c r="P52" s="31"/>
      <c r="Q52" s="31"/>
      <c r="R52" s="29"/>
      <c r="S52" s="28"/>
      <c r="T52" s="28"/>
      <c r="U52" s="3"/>
      <c r="V52" s="3"/>
      <c r="W52" s="3"/>
      <c r="X52" s="3"/>
      <c r="Y52" s="3"/>
      <c r="Z52" s="3"/>
      <c r="AA52" s="3"/>
      <c r="AB52" s="6"/>
    </row>
    <row r="53" ht="30.0" customHeight="1">
      <c r="A53" s="1">
        <v>49.0</v>
      </c>
      <c r="B53" s="35"/>
      <c r="C53" s="25"/>
      <c r="D53" s="26"/>
      <c r="E53" s="26"/>
      <c r="F53" s="27"/>
      <c r="G53" s="28"/>
      <c r="H53" s="28"/>
      <c r="I53" s="29"/>
      <c r="J53" s="28"/>
      <c r="K53" s="28"/>
      <c r="L53" s="29"/>
      <c r="M53" s="28"/>
      <c r="N53" s="28"/>
      <c r="O53" s="32"/>
      <c r="P53" s="31"/>
      <c r="Q53" s="31"/>
      <c r="R53" s="29"/>
      <c r="S53" s="28"/>
      <c r="T53" s="28"/>
      <c r="U53" s="3"/>
      <c r="V53" s="3"/>
      <c r="W53" s="3"/>
      <c r="X53" s="3"/>
      <c r="Y53" s="3"/>
      <c r="Z53" s="3"/>
      <c r="AA53" s="3"/>
      <c r="AB53" s="6"/>
    </row>
    <row r="54" ht="30.0" customHeight="1">
      <c r="A54" s="1">
        <v>50.0</v>
      </c>
      <c r="B54" s="35"/>
      <c r="C54" s="25"/>
      <c r="D54" s="26"/>
      <c r="E54" s="26"/>
      <c r="F54" s="27"/>
      <c r="G54" s="28"/>
      <c r="H54" s="28"/>
      <c r="I54" s="29"/>
      <c r="J54" s="28"/>
      <c r="K54" s="28"/>
      <c r="L54" s="29"/>
      <c r="M54" s="28"/>
      <c r="N54" s="28"/>
      <c r="O54" s="32"/>
      <c r="P54" s="31"/>
      <c r="Q54" s="31"/>
      <c r="R54" s="29"/>
      <c r="S54" s="28"/>
      <c r="T54" s="28"/>
      <c r="U54" s="3"/>
      <c r="V54" s="3"/>
      <c r="W54" s="3"/>
      <c r="X54" s="3"/>
      <c r="Y54" s="3"/>
      <c r="Z54" s="3"/>
      <c r="AA54" s="3"/>
      <c r="AB54" s="6"/>
    </row>
    <row r="55" ht="15.75" customHeight="1">
      <c r="A55" s="36"/>
      <c r="C55" s="35"/>
      <c r="D55" s="2"/>
      <c r="E55" s="37">
        <f>SUM(E5:E54)</f>
        <v>0.05468964577</v>
      </c>
      <c r="F55" s="2"/>
      <c r="G55" s="2"/>
      <c r="H55" s="38">
        <f>SUM(H5:H54)</f>
        <v>0</v>
      </c>
      <c r="I55" s="2"/>
      <c r="J55" s="2"/>
      <c r="K55" s="38">
        <f>SUM(K5:K54)</f>
        <v>0</v>
      </c>
      <c r="L55" s="2"/>
      <c r="M55" s="2"/>
      <c r="N55" s="38">
        <f>SUM(N5:N54)</f>
        <v>0.04002022743</v>
      </c>
      <c r="O55" s="35"/>
      <c r="P55" s="2"/>
      <c r="Q55" s="2"/>
      <c r="R55" s="2"/>
      <c r="S55" s="2"/>
      <c r="T55" s="38">
        <f>SUM(T5:T54)</f>
        <v>0.02491688728</v>
      </c>
      <c r="U55" s="3"/>
      <c r="V55" s="3"/>
      <c r="W55" s="3"/>
      <c r="X55" s="3"/>
      <c r="Y55" s="3"/>
      <c r="Z55" s="3"/>
      <c r="AA55" s="3"/>
      <c r="AB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2"/>
      <c r="J56" s="2"/>
      <c r="K56" s="2"/>
      <c r="L56" s="2"/>
      <c r="M56" s="2"/>
      <c r="N56" s="2"/>
      <c r="O56" s="35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ht="15.75" customHeight="1">
      <c r="A57" s="36"/>
      <c r="C57" s="35"/>
      <c r="D57" s="2"/>
      <c r="E57" s="39"/>
      <c r="F57" s="2"/>
      <c r="G57" s="2"/>
      <c r="H57" s="2"/>
      <c r="I57" s="2"/>
      <c r="J57" s="2"/>
      <c r="K57" s="2"/>
      <c r="L57" s="2"/>
      <c r="M57" s="2"/>
      <c r="N57" s="2"/>
      <c r="O57" s="35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ht="15.75" customHeight="1">
      <c r="A58" s="36"/>
      <c r="C58" s="35"/>
      <c r="D58" s="2"/>
      <c r="E58" s="39"/>
      <c r="F58" s="2"/>
      <c r="G58" s="2"/>
      <c r="H58" s="2"/>
      <c r="I58" s="2"/>
      <c r="J58" s="2"/>
      <c r="K58" s="2"/>
      <c r="L58" s="2"/>
      <c r="M58" s="2"/>
      <c r="N58" s="2"/>
      <c r="O58" s="35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ht="15.75" customHeight="1">
      <c r="A59" s="36"/>
      <c r="C59" s="35"/>
      <c r="D59" s="2"/>
      <c r="E59" s="39"/>
      <c r="F59" s="2"/>
      <c r="G59" s="2"/>
      <c r="H59" s="2"/>
      <c r="I59" s="2"/>
      <c r="J59" s="2"/>
      <c r="K59" s="2"/>
      <c r="L59" s="2"/>
      <c r="M59" s="2"/>
      <c r="N59" s="2"/>
      <c r="O59" s="35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ht="15.75" customHeight="1">
      <c r="A60" s="36"/>
      <c r="C60" s="35"/>
      <c r="D60" s="2"/>
      <c r="E60" s="39"/>
      <c r="F60" s="2"/>
      <c r="G60" s="2"/>
      <c r="H60" s="2"/>
      <c r="I60" s="2"/>
      <c r="J60" s="2"/>
      <c r="K60" s="2"/>
      <c r="L60" s="2"/>
      <c r="M60" s="2"/>
      <c r="N60" s="2"/>
      <c r="O60" s="35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ht="15.75" customHeight="1">
      <c r="A61" s="36"/>
      <c r="C61" s="35"/>
      <c r="D61" s="2"/>
      <c r="E61" s="39"/>
      <c r="F61" s="2"/>
      <c r="G61" s="2"/>
      <c r="H61" s="2"/>
      <c r="I61" s="2"/>
      <c r="J61" s="2"/>
      <c r="K61" s="2"/>
      <c r="L61" s="2"/>
      <c r="M61" s="2"/>
      <c r="N61" s="2"/>
      <c r="O61" s="35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ht="15.75" customHeight="1">
      <c r="A62" s="36"/>
      <c r="C62" s="35"/>
      <c r="D62" s="2"/>
      <c r="E62" s="39"/>
      <c r="F62" s="2"/>
      <c r="G62" s="2"/>
      <c r="H62" s="2"/>
      <c r="I62" s="2"/>
      <c r="J62" s="2"/>
      <c r="K62" s="2"/>
      <c r="L62" s="2"/>
      <c r="M62" s="2"/>
      <c r="N62" s="2"/>
      <c r="O62" s="35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ht="15.75" customHeight="1">
      <c r="A63" s="36"/>
      <c r="C63" s="35"/>
      <c r="D63" s="2"/>
      <c r="E63" s="39"/>
      <c r="F63" s="2"/>
      <c r="G63" s="2"/>
      <c r="H63" s="2"/>
      <c r="I63" s="2"/>
      <c r="J63" s="2"/>
      <c r="K63" s="2"/>
      <c r="L63" s="2"/>
      <c r="M63" s="2"/>
      <c r="N63" s="2"/>
      <c r="O63" s="35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ht="15.75" customHeight="1">
      <c r="A64" s="36"/>
      <c r="C64" s="35"/>
      <c r="D64" s="2"/>
      <c r="E64" s="39"/>
      <c r="F64" s="2"/>
      <c r="G64" s="2"/>
      <c r="H64" s="2"/>
      <c r="I64" s="2"/>
      <c r="J64" s="2"/>
      <c r="K64" s="2"/>
      <c r="L64" s="2"/>
      <c r="M64" s="2"/>
      <c r="N64" s="2"/>
      <c r="O64" s="35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ht="15.75" customHeight="1">
      <c r="A65" s="36"/>
      <c r="C65" s="35"/>
      <c r="D65" s="2"/>
      <c r="E65" s="39"/>
      <c r="F65" s="2"/>
      <c r="G65" s="2"/>
      <c r="H65" s="2"/>
      <c r="I65" s="2"/>
      <c r="J65" s="2"/>
      <c r="K65" s="2"/>
      <c r="L65" s="2"/>
      <c r="M65" s="2"/>
      <c r="N65" s="2"/>
      <c r="O65" s="35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ht="15.75" customHeight="1">
      <c r="A66" s="36"/>
      <c r="C66" s="35"/>
      <c r="D66" s="2"/>
      <c r="E66" s="39"/>
      <c r="F66" s="2"/>
      <c r="G66" s="2"/>
      <c r="H66" s="2"/>
      <c r="I66" s="2"/>
      <c r="J66" s="2"/>
      <c r="K66" s="2"/>
      <c r="L66" s="2"/>
      <c r="M66" s="2"/>
      <c r="N66" s="2"/>
      <c r="O66" s="35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ht="15.75" customHeight="1">
      <c r="A67" s="36"/>
      <c r="C67" s="35"/>
      <c r="D67" s="2"/>
      <c r="E67" s="39"/>
      <c r="F67" s="2"/>
      <c r="G67" s="2"/>
      <c r="H67" s="2"/>
      <c r="I67" s="2"/>
      <c r="J67" s="2"/>
      <c r="K67" s="2"/>
      <c r="L67" s="2"/>
      <c r="M67" s="2"/>
      <c r="N67" s="2"/>
      <c r="O67" s="35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ht="15.75" customHeight="1">
      <c r="A68" s="36"/>
      <c r="C68" s="35"/>
      <c r="D68" s="2"/>
      <c r="E68" s="39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ht="15.75" customHeight="1">
      <c r="A69" s="36"/>
      <c r="C69" s="35"/>
      <c r="D69" s="2"/>
      <c r="E69" s="39"/>
      <c r="F69" s="2"/>
      <c r="G69" s="2"/>
      <c r="H69" s="2"/>
      <c r="I69" s="2"/>
      <c r="J69" s="2"/>
      <c r="K69" s="2"/>
      <c r="L69" s="2"/>
      <c r="M69" s="2"/>
      <c r="N69" s="2"/>
      <c r="O69" s="35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ht="15.75" customHeight="1">
      <c r="A70" s="36"/>
      <c r="C70" s="35"/>
      <c r="D70" s="2"/>
      <c r="E70" s="39"/>
      <c r="F70" s="2"/>
      <c r="G70" s="2"/>
      <c r="H70" s="2"/>
      <c r="I70" s="2"/>
      <c r="J70" s="2"/>
      <c r="K70" s="2"/>
      <c r="L70" s="2"/>
      <c r="M70" s="2"/>
      <c r="N70" s="2"/>
      <c r="O70" s="35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ht="15.75" customHeight="1">
      <c r="A71" s="36"/>
      <c r="C71" s="35"/>
      <c r="D71" s="2"/>
      <c r="E71" s="39"/>
      <c r="F71" s="2"/>
      <c r="G71" s="2"/>
      <c r="H71" s="2"/>
      <c r="I71" s="2"/>
      <c r="J71" s="2"/>
      <c r="K71" s="2"/>
      <c r="L71" s="2"/>
      <c r="M71" s="2"/>
      <c r="N71" s="2"/>
      <c r="O71" s="35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ht="15.75" customHeight="1">
      <c r="A72" s="36"/>
      <c r="C72" s="35"/>
      <c r="D72" s="2"/>
      <c r="E72" s="39"/>
      <c r="F72" s="2"/>
      <c r="G72" s="2"/>
      <c r="H72" s="2"/>
      <c r="I72" s="2"/>
      <c r="J72" s="2"/>
      <c r="K72" s="2"/>
      <c r="L72" s="2"/>
      <c r="M72" s="2"/>
      <c r="N72" s="2"/>
      <c r="O72" s="35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ht="15.75" customHeight="1">
      <c r="A73" s="36"/>
      <c r="C73" s="35"/>
      <c r="D73" s="2"/>
      <c r="E73" s="39"/>
      <c r="F73" s="2"/>
      <c r="G73" s="2"/>
      <c r="H73" s="2"/>
      <c r="I73" s="2"/>
      <c r="J73" s="2"/>
      <c r="K73" s="2"/>
      <c r="L73" s="2"/>
      <c r="M73" s="2"/>
      <c r="N73" s="2"/>
      <c r="O73" s="35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ht="15.75" customHeight="1">
      <c r="A74" s="36"/>
      <c r="C74" s="35"/>
      <c r="D74" s="2"/>
      <c r="E74" s="39"/>
      <c r="F74" s="2"/>
      <c r="G74" s="2"/>
      <c r="H74" s="2"/>
      <c r="I74" s="2"/>
      <c r="J74" s="2"/>
      <c r="K74" s="2"/>
      <c r="L74" s="2"/>
      <c r="M74" s="2"/>
      <c r="N74" s="2"/>
      <c r="O74" s="35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ht="15.75" customHeight="1">
      <c r="A75" s="36"/>
      <c r="C75" s="35"/>
      <c r="D75" s="2"/>
      <c r="E75" s="39"/>
      <c r="F75" s="2"/>
      <c r="G75" s="2"/>
      <c r="H75" s="2"/>
      <c r="I75" s="2"/>
      <c r="J75" s="2"/>
      <c r="K75" s="2"/>
      <c r="L75" s="2"/>
      <c r="M75" s="2"/>
      <c r="N75" s="2"/>
      <c r="O75" s="35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ht="15.75" customHeight="1">
      <c r="A76" s="36"/>
      <c r="C76" s="35"/>
      <c r="D76" s="2"/>
      <c r="E76" s="39"/>
      <c r="F76" s="2"/>
      <c r="G76" s="2"/>
      <c r="H76" s="2"/>
      <c r="I76" s="2"/>
      <c r="J76" s="2"/>
      <c r="K76" s="2"/>
      <c r="L76" s="2"/>
      <c r="M76" s="2"/>
      <c r="N76" s="2"/>
      <c r="O76" s="35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ht="15.75" customHeight="1">
      <c r="A77" s="36"/>
      <c r="C77" s="35"/>
      <c r="D77" s="2"/>
      <c r="E77" s="39"/>
      <c r="F77" s="2"/>
      <c r="G77" s="2"/>
      <c r="H77" s="2"/>
      <c r="I77" s="2"/>
      <c r="J77" s="2"/>
      <c r="K77" s="2"/>
      <c r="L77" s="2"/>
      <c r="M77" s="2"/>
      <c r="N77" s="2"/>
      <c r="O77" s="35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ht="15.75" customHeight="1">
      <c r="A78" s="36"/>
      <c r="C78" s="35"/>
      <c r="D78" s="2"/>
      <c r="E78" s="39"/>
      <c r="F78" s="2"/>
      <c r="G78" s="2"/>
      <c r="H78" s="2"/>
      <c r="I78" s="2"/>
      <c r="J78" s="2"/>
      <c r="K78" s="2"/>
      <c r="L78" s="2"/>
      <c r="M78" s="2"/>
      <c r="N78" s="2"/>
      <c r="O78" s="35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ht="15.75" customHeight="1">
      <c r="A79" s="36"/>
      <c r="C79" s="35"/>
      <c r="D79" s="2"/>
      <c r="E79" s="39"/>
      <c r="F79" s="2"/>
      <c r="G79" s="2"/>
      <c r="H79" s="2"/>
      <c r="I79" s="2"/>
      <c r="J79" s="2"/>
      <c r="K79" s="2"/>
      <c r="L79" s="2"/>
      <c r="M79" s="2"/>
      <c r="N79" s="2"/>
      <c r="O79" s="35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ht="15.75" customHeight="1">
      <c r="A80" s="36"/>
      <c r="C80" s="35"/>
      <c r="D80" s="2"/>
      <c r="E80" s="39"/>
      <c r="F80" s="2"/>
      <c r="G80" s="2"/>
      <c r="H80" s="2"/>
      <c r="I80" s="2"/>
      <c r="J80" s="2"/>
      <c r="K80" s="2"/>
      <c r="L80" s="2"/>
      <c r="M80" s="2"/>
      <c r="N80" s="2"/>
      <c r="O80" s="35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ht="15.75" customHeight="1">
      <c r="A81" s="36"/>
      <c r="C81" s="35"/>
      <c r="D81" s="2"/>
      <c r="E81" s="39"/>
      <c r="F81" s="2"/>
      <c r="G81" s="2"/>
      <c r="H81" s="2"/>
      <c r="I81" s="2"/>
      <c r="J81" s="2"/>
      <c r="K81" s="2"/>
      <c r="L81" s="2"/>
      <c r="M81" s="2"/>
      <c r="N81" s="2"/>
      <c r="O81" s="35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ht="15.75" customHeight="1">
      <c r="A82" s="36"/>
      <c r="C82" s="35"/>
      <c r="D82" s="2"/>
      <c r="E82" s="39"/>
      <c r="F82" s="2"/>
      <c r="G82" s="2"/>
      <c r="H82" s="2"/>
      <c r="I82" s="2"/>
      <c r="J82" s="2"/>
      <c r="K82" s="2"/>
      <c r="L82" s="2"/>
      <c r="M82" s="2"/>
      <c r="N82" s="2"/>
      <c r="O82" s="35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ht="15.75" customHeight="1">
      <c r="A83" s="36"/>
      <c r="C83" s="35"/>
      <c r="D83" s="2"/>
      <c r="E83" s="39"/>
      <c r="F83" s="2"/>
      <c r="G83" s="2"/>
      <c r="H83" s="2"/>
      <c r="I83" s="2"/>
      <c r="J83" s="2"/>
      <c r="K83" s="2"/>
      <c r="L83" s="2"/>
      <c r="M83" s="2"/>
      <c r="N83" s="2"/>
      <c r="O83" s="35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ht="15.75" customHeight="1">
      <c r="A84" s="36"/>
      <c r="C84" s="35"/>
      <c r="D84" s="2"/>
      <c r="E84" s="39"/>
      <c r="F84" s="2"/>
      <c r="G84" s="2"/>
      <c r="H84" s="2"/>
      <c r="I84" s="2"/>
      <c r="J84" s="2"/>
      <c r="K84" s="2"/>
      <c r="L84" s="2"/>
      <c r="M84" s="2"/>
      <c r="N84" s="2"/>
      <c r="O84" s="35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ht="15.75" customHeight="1">
      <c r="A85" s="36"/>
      <c r="C85" s="35"/>
      <c r="D85" s="2"/>
      <c r="E85" s="39"/>
      <c r="F85" s="2"/>
      <c r="G85" s="2"/>
      <c r="H85" s="2"/>
      <c r="I85" s="2"/>
      <c r="J85" s="2"/>
      <c r="K85" s="2"/>
      <c r="L85" s="2"/>
      <c r="M85" s="2"/>
      <c r="N85" s="2"/>
      <c r="O85" s="35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ht="15.75" customHeight="1">
      <c r="A86" s="36"/>
      <c r="C86" s="35"/>
      <c r="D86" s="2"/>
      <c r="E86" s="39"/>
      <c r="F86" s="2"/>
      <c r="G86" s="2"/>
      <c r="H86" s="2"/>
      <c r="I86" s="2"/>
      <c r="J86" s="2"/>
      <c r="K86" s="2"/>
      <c r="L86" s="2"/>
      <c r="M86" s="2"/>
      <c r="N86" s="2"/>
      <c r="O86" s="35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ht="15.75" customHeight="1">
      <c r="A87" s="36"/>
      <c r="C87" s="35"/>
      <c r="D87" s="2"/>
      <c r="E87" s="39"/>
      <c r="F87" s="2"/>
      <c r="G87" s="2"/>
      <c r="H87" s="2"/>
      <c r="I87" s="2"/>
      <c r="J87" s="2"/>
      <c r="K87" s="2"/>
      <c r="L87" s="2"/>
      <c r="M87" s="2"/>
      <c r="N87" s="2"/>
      <c r="O87" s="35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ht="15.75" customHeight="1">
      <c r="A88" s="36"/>
      <c r="C88" s="35"/>
      <c r="D88" s="2"/>
      <c r="E88" s="39"/>
      <c r="F88" s="2"/>
      <c r="G88" s="2"/>
      <c r="H88" s="2"/>
      <c r="I88" s="2"/>
      <c r="J88" s="2"/>
      <c r="K88" s="2"/>
      <c r="L88" s="2"/>
      <c r="M88" s="2"/>
      <c r="N88" s="2"/>
      <c r="O88" s="35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ht="15.75" customHeight="1">
      <c r="A89" s="36"/>
      <c r="C89" s="35"/>
      <c r="D89" s="2"/>
      <c r="E89" s="39"/>
      <c r="F89" s="2"/>
      <c r="G89" s="2"/>
      <c r="H89" s="2"/>
      <c r="I89" s="2"/>
      <c r="J89" s="2"/>
      <c r="K89" s="2"/>
      <c r="L89" s="2"/>
      <c r="M89" s="2"/>
      <c r="N89" s="2"/>
      <c r="O89" s="35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ht="15.75" customHeight="1">
      <c r="A90" s="36"/>
      <c r="C90" s="35"/>
      <c r="D90" s="2"/>
      <c r="E90" s="39"/>
      <c r="F90" s="2"/>
      <c r="G90" s="2"/>
      <c r="H90" s="2"/>
      <c r="I90" s="2"/>
      <c r="J90" s="2"/>
      <c r="K90" s="2"/>
      <c r="L90" s="2"/>
      <c r="M90" s="2"/>
      <c r="N90" s="2"/>
      <c r="O90" s="35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ht="15.75" customHeight="1">
      <c r="A91" s="36"/>
      <c r="C91" s="35"/>
      <c r="D91" s="2"/>
      <c r="E91" s="39"/>
      <c r="F91" s="2"/>
      <c r="G91" s="2"/>
      <c r="H91" s="2"/>
      <c r="I91" s="2"/>
      <c r="J91" s="2"/>
      <c r="K91" s="2"/>
      <c r="L91" s="2"/>
      <c r="M91" s="2"/>
      <c r="N91" s="2"/>
      <c r="O91" s="35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ht="15.75" customHeight="1">
      <c r="A92" s="36"/>
      <c r="C92" s="35"/>
      <c r="D92" s="2"/>
      <c r="E92" s="39"/>
      <c r="F92" s="2"/>
      <c r="G92" s="2"/>
      <c r="H92" s="2"/>
      <c r="I92" s="2"/>
      <c r="J92" s="2"/>
      <c r="K92" s="2"/>
      <c r="L92" s="2"/>
      <c r="M92" s="2"/>
      <c r="N92" s="2"/>
      <c r="O92" s="35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ht="15.75" customHeight="1">
      <c r="A93" s="36"/>
      <c r="C93" s="35"/>
      <c r="D93" s="2"/>
      <c r="E93" s="39"/>
      <c r="F93" s="2"/>
      <c r="G93" s="2"/>
      <c r="H93" s="2"/>
      <c r="I93" s="2"/>
      <c r="J93" s="2"/>
      <c r="K93" s="2"/>
      <c r="L93" s="2"/>
      <c r="M93" s="2"/>
      <c r="N93" s="2"/>
      <c r="O93" s="35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ht="15.75" customHeight="1">
      <c r="A94" s="36"/>
      <c r="C94" s="35"/>
      <c r="D94" s="2"/>
      <c r="E94" s="39"/>
      <c r="F94" s="2"/>
      <c r="G94" s="2"/>
      <c r="H94" s="2"/>
      <c r="I94" s="2"/>
      <c r="J94" s="2"/>
      <c r="K94" s="2"/>
      <c r="L94" s="2"/>
      <c r="M94" s="2"/>
      <c r="N94" s="2"/>
      <c r="O94" s="35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ht="15.75" customHeight="1">
      <c r="A95" s="36"/>
      <c r="C95" s="35"/>
      <c r="D95" s="2"/>
      <c r="E95" s="39"/>
      <c r="F95" s="2"/>
      <c r="G95" s="2"/>
      <c r="H95" s="2"/>
      <c r="I95" s="2"/>
      <c r="J95" s="2"/>
      <c r="K95" s="2"/>
      <c r="L95" s="2"/>
      <c r="M95" s="2"/>
      <c r="N95" s="2"/>
      <c r="O95" s="35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ht="15.75" customHeight="1">
      <c r="A96" s="36"/>
      <c r="C96" s="35"/>
      <c r="D96" s="2"/>
      <c r="E96" s="39"/>
      <c r="F96" s="2"/>
      <c r="G96" s="2"/>
      <c r="H96" s="2"/>
      <c r="I96" s="2"/>
      <c r="J96" s="2"/>
      <c r="K96" s="2"/>
      <c r="L96" s="2"/>
      <c r="M96" s="2"/>
      <c r="N96" s="2"/>
      <c r="O96" s="35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ht="15.75" customHeight="1">
      <c r="A97" s="36"/>
      <c r="C97" s="35"/>
      <c r="D97" s="2"/>
      <c r="E97" s="39"/>
      <c r="F97" s="2"/>
      <c r="G97" s="2"/>
      <c r="H97" s="2"/>
      <c r="I97" s="2"/>
      <c r="J97" s="2"/>
      <c r="K97" s="2"/>
      <c r="L97" s="2"/>
      <c r="M97" s="2"/>
      <c r="N97" s="2"/>
      <c r="O97" s="35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ht="15.75" customHeight="1">
      <c r="A98" s="36"/>
      <c r="C98" s="35"/>
      <c r="D98" s="2"/>
      <c r="E98" s="39"/>
      <c r="F98" s="2"/>
      <c r="G98" s="2"/>
      <c r="H98" s="2"/>
      <c r="I98" s="2"/>
      <c r="J98" s="2"/>
      <c r="K98" s="2"/>
      <c r="L98" s="2"/>
      <c r="M98" s="2"/>
      <c r="N98" s="2"/>
      <c r="O98" s="35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ht="15.75" customHeight="1">
      <c r="A99" s="36"/>
      <c r="C99" s="35"/>
      <c r="D99" s="2"/>
      <c r="E99" s="39"/>
      <c r="F99" s="2"/>
      <c r="G99" s="2"/>
      <c r="H99" s="2"/>
      <c r="I99" s="2"/>
      <c r="J99" s="2"/>
      <c r="K99" s="2"/>
      <c r="L99" s="2"/>
      <c r="M99" s="2"/>
      <c r="N99" s="2"/>
      <c r="O99" s="35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ht="15.75" customHeight="1">
      <c r="A100" s="36"/>
      <c r="C100" s="35"/>
      <c r="D100" s="2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35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ht="15.75" customHeight="1">
      <c r="A101" s="36"/>
      <c r="C101" s="35"/>
      <c r="D101" s="2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35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ht="15.75" customHeight="1">
      <c r="A102" s="36"/>
      <c r="C102" s="35"/>
      <c r="D102" s="2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35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ht="15.75" customHeight="1">
      <c r="A103" s="36"/>
      <c r="C103" s="35"/>
      <c r="D103" s="2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35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35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35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35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35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35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35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35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35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35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35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35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35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35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35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35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35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35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35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35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35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35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35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35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35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35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35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35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35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2"/>
      <c r="J132" s="2"/>
      <c r="K132" s="2"/>
      <c r="L132" s="2"/>
      <c r="M132" s="2"/>
      <c r="N132" s="2"/>
      <c r="O132" s="35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2"/>
      <c r="J133" s="2"/>
      <c r="K133" s="2"/>
      <c r="L133" s="2"/>
      <c r="M133" s="2"/>
      <c r="N133" s="2"/>
      <c r="O133" s="35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2"/>
      <c r="J134" s="2"/>
      <c r="K134" s="2"/>
      <c r="L134" s="2"/>
      <c r="M134" s="2"/>
      <c r="N134" s="2"/>
      <c r="O134" s="35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2"/>
      <c r="J135" s="2"/>
      <c r="K135" s="2"/>
      <c r="L135" s="2"/>
      <c r="M135" s="2"/>
      <c r="N135" s="2"/>
      <c r="O135" s="35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2"/>
      <c r="J136" s="2"/>
      <c r="K136" s="2"/>
      <c r="L136" s="2"/>
      <c r="M136" s="2"/>
      <c r="N136" s="2"/>
      <c r="O136" s="35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2"/>
      <c r="J137" s="2"/>
      <c r="K137" s="2"/>
      <c r="L137" s="2"/>
      <c r="M137" s="2"/>
      <c r="N137" s="2"/>
      <c r="O137" s="35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2"/>
      <c r="J138" s="2"/>
      <c r="K138" s="2"/>
      <c r="L138" s="2"/>
      <c r="M138" s="2"/>
      <c r="N138" s="2"/>
      <c r="O138" s="35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2"/>
      <c r="J139" s="2"/>
      <c r="K139" s="2"/>
      <c r="L139" s="2"/>
      <c r="M139" s="2"/>
      <c r="N139" s="2"/>
      <c r="O139" s="35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2"/>
      <c r="J140" s="2"/>
      <c r="K140" s="2"/>
      <c r="L140" s="2"/>
      <c r="M140" s="2"/>
      <c r="N140" s="2"/>
      <c r="O140" s="35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2"/>
      <c r="J141" s="2"/>
      <c r="K141" s="2"/>
      <c r="L141" s="2"/>
      <c r="M141" s="2"/>
      <c r="N141" s="2"/>
      <c r="O141" s="35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2"/>
      <c r="J142" s="2"/>
      <c r="K142" s="2"/>
      <c r="L142" s="2"/>
      <c r="M142" s="2"/>
      <c r="N142" s="2"/>
      <c r="O142" s="35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2"/>
      <c r="J143" s="2"/>
      <c r="K143" s="2"/>
      <c r="L143" s="2"/>
      <c r="M143" s="2"/>
      <c r="N143" s="2"/>
      <c r="O143" s="35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2"/>
      <c r="J144" s="2"/>
      <c r="K144" s="2"/>
      <c r="L144" s="2"/>
      <c r="M144" s="2"/>
      <c r="N144" s="2"/>
      <c r="O144" s="35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2"/>
      <c r="J145" s="2"/>
      <c r="K145" s="2"/>
      <c r="L145" s="2"/>
      <c r="M145" s="2"/>
      <c r="N145" s="2"/>
      <c r="O145" s="35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2"/>
      <c r="J146" s="2"/>
      <c r="K146" s="2"/>
      <c r="L146" s="2"/>
      <c r="M146" s="2"/>
      <c r="N146" s="2"/>
      <c r="O146" s="35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2"/>
      <c r="J147" s="2"/>
      <c r="K147" s="2"/>
      <c r="L147" s="2"/>
      <c r="M147" s="2"/>
      <c r="N147" s="2"/>
      <c r="O147" s="35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2"/>
      <c r="J148" s="2"/>
      <c r="K148" s="2"/>
      <c r="L148" s="2"/>
      <c r="M148" s="2"/>
      <c r="N148" s="2"/>
      <c r="O148" s="35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2"/>
      <c r="J149" s="2"/>
      <c r="K149" s="2"/>
      <c r="L149" s="2"/>
      <c r="M149" s="2"/>
      <c r="N149" s="2"/>
      <c r="O149" s="35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2"/>
      <c r="J150" s="2"/>
      <c r="K150" s="2"/>
      <c r="L150" s="2"/>
      <c r="M150" s="2"/>
      <c r="N150" s="2"/>
      <c r="O150" s="35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2"/>
      <c r="J151" s="2"/>
      <c r="K151" s="2"/>
      <c r="L151" s="2"/>
      <c r="M151" s="2"/>
      <c r="N151" s="2"/>
      <c r="O151" s="35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2"/>
      <c r="J152" s="2"/>
      <c r="K152" s="2"/>
      <c r="L152" s="2"/>
      <c r="M152" s="2"/>
      <c r="N152" s="2"/>
      <c r="O152" s="35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2"/>
      <c r="J153" s="2"/>
      <c r="K153" s="2"/>
      <c r="L153" s="2"/>
      <c r="M153" s="2"/>
      <c r="N153" s="2"/>
      <c r="O153" s="35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2"/>
      <c r="J154" s="2"/>
      <c r="K154" s="2"/>
      <c r="L154" s="2"/>
      <c r="M154" s="2"/>
      <c r="N154" s="2"/>
      <c r="O154" s="35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2"/>
      <c r="J155" s="2"/>
      <c r="K155" s="2"/>
      <c r="L155" s="2"/>
      <c r="M155" s="2"/>
      <c r="N155" s="2"/>
      <c r="O155" s="35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2"/>
      <c r="J156" s="2"/>
      <c r="K156" s="2"/>
      <c r="L156" s="2"/>
      <c r="M156" s="2"/>
      <c r="N156" s="2"/>
      <c r="O156" s="35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2"/>
      <c r="J157" s="2"/>
      <c r="K157" s="2"/>
      <c r="L157" s="2"/>
      <c r="M157" s="2"/>
      <c r="N157" s="2"/>
      <c r="O157" s="35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2"/>
      <c r="J158" s="2"/>
      <c r="K158" s="2"/>
      <c r="L158" s="2"/>
      <c r="M158" s="2"/>
      <c r="N158" s="2"/>
      <c r="O158" s="35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2"/>
      <c r="J159" s="2"/>
      <c r="K159" s="2"/>
      <c r="L159" s="2"/>
      <c r="M159" s="2"/>
      <c r="N159" s="2"/>
      <c r="O159" s="35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2"/>
      <c r="J160" s="2"/>
      <c r="K160" s="2"/>
      <c r="L160" s="2"/>
      <c r="M160" s="2"/>
      <c r="N160" s="2"/>
      <c r="O160" s="35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2"/>
      <c r="J161" s="2"/>
      <c r="K161" s="2"/>
      <c r="L161" s="2"/>
      <c r="M161" s="2"/>
      <c r="N161" s="2"/>
      <c r="O161" s="35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2"/>
      <c r="J162" s="2"/>
      <c r="K162" s="2"/>
      <c r="L162" s="2"/>
      <c r="M162" s="2"/>
      <c r="N162" s="2"/>
      <c r="O162" s="35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2"/>
      <c r="J163" s="2"/>
      <c r="K163" s="2"/>
      <c r="L163" s="2"/>
      <c r="M163" s="2"/>
      <c r="N163" s="2"/>
      <c r="O163" s="35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2"/>
      <c r="J164" s="2"/>
      <c r="K164" s="2"/>
      <c r="L164" s="2"/>
      <c r="M164" s="2"/>
      <c r="N164" s="2"/>
      <c r="O164" s="35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2"/>
      <c r="J165" s="2"/>
      <c r="K165" s="2"/>
      <c r="L165" s="2"/>
      <c r="M165" s="2"/>
      <c r="N165" s="2"/>
      <c r="O165" s="35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2"/>
      <c r="J166" s="2"/>
      <c r="K166" s="2"/>
      <c r="L166" s="2"/>
      <c r="M166" s="2"/>
      <c r="N166" s="2"/>
      <c r="O166" s="35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2"/>
      <c r="J167" s="2"/>
      <c r="K167" s="2"/>
      <c r="L167" s="2"/>
      <c r="M167" s="2"/>
      <c r="N167" s="2"/>
      <c r="O167" s="35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2"/>
      <c r="J168" s="2"/>
      <c r="K168" s="2"/>
      <c r="L168" s="2"/>
      <c r="M168" s="2"/>
      <c r="N168" s="2"/>
      <c r="O168" s="35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2"/>
      <c r="J169" s="2"/>
      <c r="K169" s="2"/>
      <c r="L169" s="2"/>
      <c r="M169" s="2"/>
      <c r="N169" s="2"/>
      <c r="O169" s="35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2"/>
      <c r="J170" s="2"/>
      <c r="K170" s="2"/>
      <c r="L170" s="2"/>
      <c r="M170" s="2"/>
      <c r="N170" s="2"/>
      <c r="O170" s="35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2"/>
      <c r="J171" s="2"/>
      <c r="K171" s="2"/>
      <c r="L171" s="2"/>
      <c r="M171" s="2"/>
      <c r="N171" s="2"/>
      <c r="O171" s="35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2"/>
      <c r="J172" s="2"/>
      <c r="K172" s="2"/>
      <c r="L172" s="2"/>
      <c r="M172" s="2"/>
      <c r="N172" s="2"/>
      <c r="O172" s="35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35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35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2"/>
      <c r="J175" s="2"/>
      <c r="K175" s="2"/>
      <c r="L175" s="2"/>
      <c r="M175" s="2"/>
      <c r="N175" s="2"/>
      <c r="O175" s="35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2"/>
      <c r="J176" s="2"/>
      <c r="K176" s="2"/>
      <c r="L176" s="2"/>
      <c r="M176" s="2"/>
      <c r="N176" s="2"/>
      <c r="O176" s="35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2"/>
      <c r="J177" s="2"/>
      <c r="K177" s="2"/>
      <c r="L177" s="2"/>
      <c r="M177" s="2"/>
      <c r="N177" s="2"/>
      <c r="O177" s="35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2"/>
      <c r="J178" s="2"/>
      <c r="K178" s="2"/>
      <c r="L178" s="2"/>
      <c r="M178" s="2"/>
      <c r="N178" s="2"/>
      <c r="O178" s="35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35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35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35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35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35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35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35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35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35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2"/>
      <c r="J188" s="2"/>
      <c r="K188" s="2"/>
      <c r="L188" s="2"/>
      <c r="M188" s="2"/>
      <c r="N188" s="2"/>
      <c r="O188" s="35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2"/>
      <c r="J189" s="2"/>
      <c r="K189" s="2"/>
      <c r="L189" s="2"/>
      <c r="M189" s="2"/>
      <c r="N189" s="2"/>
      <c r="O189" s="35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35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35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35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2"/>
      <c r="J194" s="2"/>
      <c r="K194" s="2"/>
      <c r="L194" s="2"/>
      <c r="M194" s="2"/>
      <c r="N194" s="2"/>
      <c r="O194" s="35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2"/>
      <c r="J195" s="2"/>
      <c r="K195" s="2"/>
      <c r="L195" s="2"/>
      <c r="M195" s="2"/>
      <c r="N195" s="2"/>
      <c r="O195" s="35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2"/>
      <c r="J196" s="2"/>
      <c r="K196" s="2"/>
      <c r="L196" s="2"/>
      <c r="M196" s="2"/>
      <c r="N196" s="2"/>
      <c r="O196" s="35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35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35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35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2"/>
      <c r="J200" s="2"/>
      <c r="K200" s="2"/>
      <c r="L200" s="2"/>
      <c r="M200" s="2"/>
      <c r="N200" s="2"/>
      <c r="O200" s="35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2"/>
      <c r="J201" s="2"/>
      <c r="K201" s="2"/>
      <c r="L201" s="2"/>
      <c r="M201" s="2"/>
      <c r="N201" s="2"/>
      <c r="O201" s="35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2"/>
      <c r="J202" s="2"/>
      <c r="K202" s="2"/>
      <c r="L202" s="2"/>
      <c r="M202" s="2"/>
      <c r="N202" s="2"/>
      <c r="O202" s="35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2"/>
      <c r="J203" s="2"/>
      <c r="K203" s="2"/>
      <c r="L203" s="2"/>
      <c r="M203" s="2"/>
      <c r="N203" s="2"/>
      <c r="O203" s="35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2"/>
      <c r="J204" s="2"/>
      <c r="K204" s="2"/>
      <c r="L204" s="2"/>
      <c r="M204" s="2"/>
      <c r="N204" s="2"/>
      <c r="O204" s="35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2"/>
      <c r="J205" s="2"/>
      <c r="K205" s="2"/>
      <c r="L205" s="2"/>
      <c r="M205" s="2"/>
      <c r="N205" s="2"/>
      <c r="O205" s="35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2"/>
      <c r="J206" s="2"/>
      <c r="K206" s="2"/>
      <c r="L206" s="2"/>
      <c r="M206" s="2"/>
      <c r="N206" s="2"/>
      <c r="O206" s="35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35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35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35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2"/>
      <c r="J210" s="2"/>
      <c r="K210" s="2"/>
      <c r="L210" s="2"/>
      <c r="M210" s="2"/>
      <c r="N210" s="2"/>
      <c r="O210" s="35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2"/>
      <c r="J211" s="2"/>
      <c r="K211" s="2"/>
      <c r="L211" s="2"/>
      <c r="M211" s="2"/>
      <c r="N211" s="2"/>
      <c r="O211" s="35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2"/>
      <c r="J212" s="2"/>
      <c r="K212" s="2"/>
      <c r="L212" s="2"/>
      <c r="M212" s="2"/>
      <c r="N212" s="2"/>
      <c r="O212" s="35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2"/>
      <c r="J213" s="2"/>
      <c r="K213" s="2"/>
      <c r="L213" s="2"/>
      <c r="M213" s="2"/>
      <c r="N213" s="2"/>
      <c r="O213" s="35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2"/>
      <c r="J214" s="2"/>
      <c r="K214" s="2"/>
      <c r="L214" s="2"/>
      <c r="M214" s="2"/>
      <c r="N214" s="2"/>
      <c r="O214" s="35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2"/>
      <c r="J215" s="2"/>
      <c r="K215" s="2"/>
      <c r="L215" s="2"/>
      <c r="M215" s="2"/>
      <c r="N215" s="2"/>
      <c r="O215" s="35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2"/>
      <c r="J216" s="2"/>
      <c r="K216" s="2"/>
      <c r="L216" s="2"/>
      <c r="M216" s="2"/>
      <c r="N216" s="2"/>
      <c r="O216" s="35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2"/>
      <c r="J217" s="2"/>
      <c r="K217" s="2"/>
      <c r="L217" s="2"/>
      <c r="M217" s="2"/>
      <c r="N217" s="2"/>
      <c r="O217" s="35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2"/>
      <c r="J218" s="2"/>
      <c r="K218" s="2"/>
      <c r="L218" s="2"/>
      <c r="M218" s="2"/>
      <c r="N218" s="2"/>
      <c r="O218" s="35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2"/>
      <c r="J219" s="2"/>
      <c r="K219" s="2"/>
      <c r="L219" s="2"/>
      <c r="M219" s="2"/>
      <c r="N219" s="2"/>
      <c r="O219" s="35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2"/>
      <c r="J220" s="2"/>
      <c r="K220" s="2"/>
      <c r="L220" s="2"/>
      <c r="M220" s="2"/>
      <c r="N220" s="2"/>
      <c r="O220" s="35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2"/>
      <c r="J221" s="2"/>
      <c r="K221" s="2"/>
      <c r="L221" s="2"/>
      <c r="M221" s="2"/>
      <c r="N221" s="2"/>
      <c r="O221" s="35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2"/>
      <c r="J222" s="2"/>
      <c r="K222" s="2"/>
      <c r="L222" s="2"/>
      <c r="M222" s="2"/>
      <c r="N222" s="2"/>
      <c r="O222" s="35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2"/>
      <c r="J223" s="2"/>
      <c r="K223" s="2"/>
      <c r="L223" s="2"/>
      <c r="M223" s="2"/>
      <c r="N223" s="2"/>
      <c r="O223" s="35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2"/>
      <c r="J224" s="2"/>
      <c r="K224" s="2"/>
      <c r="L224" s="2"/>
      <c r="M224" s="2"/>
      <c r="N224" s="2"/>
      <c r="O224" s="35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2"/>
      <c r="J225" s="2"/>
      <c r="K225" s="2"/>
      <c r="L225" s="2"/>
      <c r="M225" s="2"/>
      <c r="N225" s="2"/>
      <c r="O225" s="35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2"/>
      <c r="J226" s="2"/>
      <c r="K226" s="2"/>
      <c r="L226" s="2"/>
      <c r="M226" s="2"/>
      <c r="N226" s="2"/>
      <c r="O226" s="35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2"/>
      <c r="J227" s="2"/>
      <c r="K227" s="2"/>
      <c r="L227" s="2"/>
      <c r="M227" s="2"/>
      <c r="N227" s="2"/>
      <c r="O227" s="35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2"/>
      <c r="J228" s="2"/>
      <c r="K228" s="2"/>
      <c r="L228" s="2"/>
      <c r="M228" s="2"/>
      <c r="N228" s="2"/>
      <c r="O228" s="35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2"/>
      <c r="J229" s="2"/>
      <c r="K229" s="2"/>
      <c r="L229" s="2"/>
      <c r="M229" s="2"/>
      <c r="N229" s="2"/>
      <c r="O229" s="35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2"/>
      <c r="J230" s="2"/>
      <c r="K230" s="2"/>
      <c r="L230" s="2"/>
      <c r="M230" s="2"/>
      <c r="N230" s="2"/>
      <c r="O230" s="35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2"/>
      <c r="J231" s="2"/>
      <c r="K231" s="2"/>
      <c r="L231" s="2"/>
      <c r="M231" s="2"/>
      <c r="N231" s="2"/>
      <c r="O231" s="35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2"/>
      <c r="J232" s="2"/>
      <c r="K232" s="2"/>
      <c r="L232" s="2"/>
      <c r="M232" s="2"/>
      <c r="N232" s="2"/>
      <c r="O232" s="35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2"/>
      <c r="J233" s="2"/>
      <c r="K233" s="2"/>
      <c r="L233" s="2"/>
      <c r="M233" s="2"/>
      <c r="N233" s="2"/>
      <c r="O233" s="35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2"/>
      <c r="J234" s="2"/>
      <c r="K234" s="2"/>
      <c r="L234" s="2"/>
      <c r="M234" s="2"/>
      <c r="N234" s="2"/>
      <c r="O234" s="35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2"/>
      <c r="J235" s="2"/>
      <c r="K235" s="2"/>
      <c r="L235" s="2"/>
      <c r="M235" s="2"/>
      <c r="N235" s="2"/>
      <c r="O235" s="35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2"/>
      <c r="J236" s="2"/>
      <c r="K236" s="2"/>
      <c r="L236" s="2"/>
      <c r="M236" s="2"/>
      <c r="N236" s="2"/>
      <c r="O236" s="35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2"/>
      <c r="J237" s="2"/>
      <c r="K237" s="2"/>
      <c r="L237" s="2"/>
      <c r="M237" s="2"/>
      <c r="N237" s="2"/>
      <c r="O237" s="35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2"/>
      <c r="J238" s="2"/>
      <c r="K238" s="2"/>
      <c r="L238" s="2"/>
      <c r="M238" s="2"/>
      <c r="N238" s="2"/>
      <c r="O238" s="35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2"/>
      <c r="J239" s="2"/>
      <c r="K239" s="2"/>
      <c r="L239" s="2"/>
      <c r="M239" s="2"/>
      <c r="N239" s="2"/>
      <c r="O239" s="35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2"/>
      <c r="J240" s="2"/>
      <c r="K240" s="2"/>
      <c r="L240" s="2"/>
      <c r="M240" s="2"/>
      <c r="N240" s="2"/>
      <c r="O240" s="35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2"/>
      <c r="J241" s="2"/>
      <c r="K241" s="2"/>
      <c r="L241" s="2"/>
      <c r="M241" s="2"/>
      <c r="N241" s="2"/>
      <c r="O241" s="35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35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35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35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35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35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35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2"/>
      <c r="J248" s="2"/>
      <c r="K248" s="2"/>
      <c r="L248" s="2"/>
      <c r="M248" s="2"/>
      <c r="N248" s="2"/>
      <c r="O248" s="35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2"/>
      <c r="J249" s="2"/>
      <c r="K249" s="2"/>
      <c r="L249" s="2"/>
      <c r="M249" s="2"/>
      <c r="N249" s="2"/>
      <c r="O249" s="35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2"/>
      <c r="J250" s="2"/>
      <c r="K250" s="2"/>
      <c r="L250" s="2"/>
      <c r="M250" s="2"/>
      <c r="N250" s="2"/>
      <c r="O250" s="35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2"/>
      <c r="J251" s="2"/>
      <c r="K251" s="2"/>
      <c r="L251" s="2"/>
      <c r="M251" s="2"/>
      <c r="N251" s="2"/>
      <c r="O251" s="35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35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35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35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C3:E3"/>
    <mergeCell ref="F3:H3"/>
    <mergeCell ref="I3:K3"/>
    <mergeCell ref="L3:N3"/>
    <mergeCell ref="O3:Q3"/>
    <mergeCell ref="R3:T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hidden="1" min="6" max="6" width="22.43"/>
    <col customWidth="1" hidden="1" min="7" max="7" width="19.43"/>
    <col customWidth="1" hidden="1" min="8" max="8" width="19.29"/>
    <col customWidth="1" hidden="1" min="9" max="9" width="32.86"/>
    <col customWidth="1" hidden="1" min="10" max="10" width="19.43"/>
    <col customWidth="1" hidden="1" min="11" max="11" width="19.29"/>
    <col customWidth="1" min="12" max="12" width="32.86"/>
    <col customWidth="1" min="13" max="14" width="19.29"/>
    <col customWidth="1" hidden="1" min="15" max="15" width="31.71"/>
    <col customWidth="1" hidden="1" min="16" max="16" width="28.14"/>
    <col customWidth="1" hidden="1" min="17" max="17" width="27.86"/>
    <col customWidth="1" min="18" max="18" width="32.86"/>
    <col customWidth="1" min="19" max="20" width="19.29"/>
    <col customWidth="1" min="21" max="28" width="13.57"/>
  </cols>
  <sheetData>
    <row r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>
      <c r="A2" s="5" t="s">
        <v>116</v>
      </c>
      <c r="D2" s="5" t="s">
        <v>1</v>
      </c>
      <c r="E2" s="1">
        <v>1000.0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>
      <c r="A3" s="7"/>
      <c r="B3" s="7"/>
      <c r="C3" s="8" t="s">
        <v>2</v>
      </c>
      <c r="D3" s="9"/>
      <c r="E3" s="10"/>
      <c r="F3" s="11" t="s">
        <v>3</v>
      </c>
      <c r="G3" s="9"/>
      <c r="H3" s="10"/>
      <c r="I3" s="12" t="s">
        <v>4</v>
      </c>
      <c r="J3" s="9"/>
      <c r="K3" s="10"/>
      <c r="L3" s="13" t="s">
        <v>3</v>
      </c>
      <c r="M3" s="9"/>
      <c r="N3" s="10"/>
      <c r="O3" s="14" t="s">
        <v>5</v>
      </c>
      <c r="P3" s="9"/>
      <c r="Q3" s="10"/>
      <c r="R3" s="15" t="s">
        <v>6</v>
      </c>
      <c r="S3" s="9"/>
      <c r="T3" s="10"/>
      <c r="U3" s="3"/>
      <c r="V3" s="3"/>
      <c r="W3" s="3"/>
      <c r="X3" s="3"/>
      <c r="Y3" s="3"/>
      <c r="Z3" s="3"/>
      <c r="AA3" s="3"/>
      <c r="AB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8" t="s">
        <v>13</v>
      </c>
      <c r="H4" s="18" t="s">
        <v>14</v>
      </c>
      <c r="I4" s="19" t="s">
        <v>12</v>
      </c>
      <c r="J4" s="19" t="s">
        <v>13</v>
      </c>
      <c r="K4" s="19" t="s">
        <v>15</v>
      </c>
      <c r="L4" s="20" t="s">
        <v>12</v>
      </c>
      <c r="M4" s="20" t="s">
        <v>13</v>
      </c>
      <c r="N4" s="20" t="s">
        <v>16</v>
      </c>
      <c r="O4" s="21" t="s">
        <v>17</v>
      </c>
      <c r="P4" s="21" t="s">
        <v>18</v>
      </c>
      <c r="Q4" s="22" t="s">
        <v>19</v>
      </c>
      <c r="R4" s="23" t="s">
        <v>20</v>
      </c>
      <c r="S4" s="23" t="s">
        <v>21</v>
      </c>
      <c r="T4" s="23" t="s">
        <v>22</v>
      </c>
      <c r="U4" s="3"/>
      <c r="V4" s="3"/>
      <c r="W4" s="3"/>
      <c r="X4" s="3"/>
      <c r="Y4" s="3"/>
      <c r="Z4" s="3"/>
      <c r="AA4" s="3"/>
      <c r="AB4" s="6"/>
    </row>
    <row r="5" ht="30.0" customHeight="1">
      <c r="A5" s="1">
        <v>1.0</v>
      </c>
      <c r="B5" s="24" t="s">
        <v>117</v>
      </c>
      <c r="C5" s="25" t="s">
        <v>118</v>
      </c>
      <c r="D5" s="26">
        <v>0.25</v>
      </c>
      <c r="E5" s="26">
        <v>0.016249656677246</v>
      </c>
      <c r="F5" s="27"/>
      <c r="G5" s="28"/>
      <c r="H5" s="28"/>
      <c r="I5" s="29"/>
      <c r="J5" s="28"/>
      <c r="K5" s="28"/>
      <c r="L5" s="29" t="s">
        <v>119</v>
      </c>
      <c r="M5" s="28">
        <v>0.25</v>
      </c>
      <c r="N5" s="28">
        <v>0.0120127201080322</v>
      </c>
      <c r="O5" s="30"/>
      <c r="P5" s="31"/>
      <c r="Q5" s="31"/>
      <c r="R5" s="29" t="s">
        <v>120</v>
      </c>
      <c r="S5" s="28">
        <v>0.25</v>
      </c>
      <c r="T5" s="28">
        <v>0.00300145149230957</v>
      </c>
      <c r="U5" s="3">
        <f>(ABS(E5-S5)/D5)</f>
        <v>0.9350013733</v>
      </c>
      <c r="V5" s="3">
        <f t="shared" ref="V5:V53" si="1">E5/T5</f>
        <v>5.413932798</v>
      </c>
      <c r="W5" s="3"/>
      <c r="X5" s="3"/>
      <c r="Y5" s="3"/>
      <c r="Z5" s="3"/>
      <c r="AA5" s="3"/>
      <c r="AB5" s="6"/>
    </row>
    <row r="6" ht="30.0" customHeight="1">
      <c r="A6" s="1">
        <v>2.0</v>
      </c>
      <c r="B6" s="24" t="s">
        <v>121</v>
      </c>
      <c r="C6" s="25" t="s">
        <v>122</v>
      </c>
      <c r="D6" s="26">
        <v>0.0</v>
      </c>
      <c r="E6" s="26">
        <v>0.00961875915527343</v>
      </c>
      <c r="F6" s="27"/>
      <c r="G6" s="28"/>
      <c r="H6" s="28"/>
      <c r="I6" s="29"/>
      <c r="J6" s="28"/>
      <c r="K6" s="28"/>
      <c r="L6" s="29" t="s">
        <v>123</v>
      </c>
      <c r="M6" s="28">
        <v>0.0</v>
      </c>
      <c r="N6" s="28">
        <v>0.00499868392944335</v>
      </c>
      <c r="O6" s="32"/>
      <c r="P6" s="31"/>
      <c r="Q6" s="31"/>
      <c r="R6" s="29" t="s">
        <v>124</v>
      </c>
      <c r="S6" s="28">
        <v>0.0</v>
      </c>
      <c r="T6" s="28">
        <v>0.00199842453002929</v>
      </c>
      <c r="U6" s="3" t="str">
        <f t="shared" ref="U6:U53" si="2">(ABS(D6-S6)/D6)</f>
        <v>#DIV/0!</v>
      </c>
      <c r="V6" s="3">
        <f t="shared" si="1"/>
        <v>4.813171081</v>
      </c>
      <c r="W6" s="3"/>
      <c r="X6" s="3"/>
      <c r="Y6" s="3"/>
      <c r="Z6" s="3"/>
      <c r="AA6" s="3"/>
      <c r="AB6" s="6"/>
    </row>
    <row r="7" ht="30.0" customHeight="1">
      <c r="A7" s="1">
        <v>3.0</v>
      </c>
      <c r="B7" s="24" t="s">
        <v>125</v>
      </c>
      <c r="C7" s="25" t="s">
        <v>126</v>
      </c>
      <c r="D7" s="26">
        <v>0.0</v>
      </c>
      <c r="E7" s="26">
        <v>0.00665521621704101</v>
      </c>
      <c r="F7" s="27"/>
      <c r="G7" s="28"/>
      <c r="H7" s="28"/>
      <c r="I7" s="29"/>
      <c r="J7" s="28"/>
      <c r="K7" s="28"/>
      <c r="L7" s="29" t="s">
        <v>127</v>
      </c>
      <c r="M7" s="28">
        <v>0.0</v>
      </c>
      <c r="N7" s="28">
        <v>0.00400757789611816</v>
      </c>
      <c r="O7" s="32"/>
      <c r="P7" s="31"/>
      <c r="Q7" s="31"/>
      <c r="R7" s="29" t="s">
        <v>128</v>
      </c>
      <c r="S7" s="28">
        <v>0.0</v>
      </c>
      <c r="T7" s="28">
        <v>0.0020003318786621</v>
      </c>
      <c r="U7" s="3" t="str">
        <f t="shared" si="2"/>
        <v>#DIV/0!</v>
      </c>
      <c r="V7" s="3">
        <f t="shared" si="1"/>
        <v>3.327056019</v>
      </c>
      <c r="W7" s="3"/>
      <c r="X7" s="3"/>
      <c r="Y7" s="3"/>
      <c r="Z7" s="3"/>
      <c r="AA7" s="3"/>
      <c r="AB7" s="6"/>
    </row>
    <row r="8" ht="30.0" customHeight="1">
      <c r="A8" s="1">
        <v>4.0</v>
      </c>
      <c r="B8" s="24" t="s">
        <v>129</v>
      </c>
      <c r="C8" s="25" t="s">
        <v>130</v>
      </c>
      <c r="D8" s="26">
        <v>0.0</v>
      </c>
      <c r="E8" s="26">
        <v>0.0</v>
      </c>
      <c r="F8" s="27"/>
      <c r="G8" s="28"/>
      <c r="H8" s="28"/>
      <c r="I8" s="29"/>
      <c r="J8" s="28"/>
      <c r="K8" s="28"/>
      <c r="L8" s="29" t="s">
        <v>131</v>
      </c>
      <c r="M8" s="28">
        <v>0.0</v>
      </c>
      <c r="N8" s="28">
        <v>0.00299906730651855</v>
      </c>
      <c r="O8" s="32"/>
      <c r="P8" s="31"/>
      <c r="Q8" s="31"/>
      <c r="R8" s="29" t="s">
        <v>132</v>
      </c>
      <c r="S8" s="28">
        <v>0.0</v>
      </c>
      <c r="T8" s="28">
        <v>0.00199508666992187</v>
      </c>
      <c r="U8" s="3" t="str">
        <f t="shared" si="2"/>
        <v>#DIV/0!</v>
      </c>
      <c r="V8" s="3">
        <f t="shared" si="1"/>
        <v>0</v>
      </c>
      <c r="W8" s="3"/>
      <c r="X8" s="3"/>
      <c r="Y8" s="3"/>
      <c r="Z8" s="3"/>
      <c r="AA8" s="3"/>
      <c r="AB8" s="6"/>
    </row>
    <row r="9" ht="30.0" customHeight="1">
      <c r="A9" s="1">
        <v>5.0</v>
      </c>
      <c r="B9" s="24" t="s">
        <v>133</v>
      </c>
      <c r="C9" s="25" t="s">
        <v>134</v>
      </c>
      <c r="D9" s="26">
        <v>0.0</v>
      </c>
      <c r="E9" s="26">
        <v>0.00982832908630371</v>
      </c>
      <c r="F9" s="27"/>
      <c r="G9" s="28"/>
      <c r="H9" s="28"/>
      <c r="I9" s="29"/>
      <c r="J9" s="28"/>
      <c r="K9" s="28"/>
      <c r="L9" s="29" t="s">
        <v>135</v>
      </c>
      <c r="M9" s="28">
        <v>0.0</v>
      </c>
      <c r="N9" s="28">
        <v>0.00300860404968261</v>
      </c>
      <c r="O9" s="33"/>
      <c r="P9" s="26"/>
      <c r="Q9" s="26"/>
      <c r="R9" s="29" t="s">
        <v>136</v>
      </c>
      <c r="S9" s="28">
        <v>0.0</v>
      </c>
      <c r="T9" s="28">
        <v>0.00199365615844726</v>
      </c>
      <c r="U9" s="3" t="str">
        <f t="shared" si="2"/>
        <v>#DIV/0!</v>
      </c>
      <c r="V9" s="3">
        <f t="shared" si="1"/>
        <v>4.929801483</v>
      </c>
      <c r="W9" s="3"/>
      <c r="X9" s="3"/>
      <c r="Y9" s="3"/>
      <c r="Z9" s="3"/>
      <c r="AA9" s="3"/>
      <c r="AB9" s="6"/>
    </row>
    <row r="10" ht="30.0" customHeight="1">
      <c r="A10" s="1">
        <v>6.0</v>
      </c>
      <c r="B10" s="24" t="s">
        <v>137</v>
      </c>
      <c r="C10" s="25" t="s">
        <v>138</v>
      </c>
      <c r="D10" s="26">
        <v>0.0</v>
      </c>
      <c r="E10" s="26">
        <v>0.0</v>
      </c>
      <c r="F10" s="27"/>
      <c r="G10" s="28"/>
      <c r="H10" s="28"/>
      <c r="I10" s="29"/>
      <c r="J10" s="28"/>
      <c r="K10" s="28"/>
      <c r="L10" s="29" t="s">
        <v>139</v>
      </c>
      <c r="M10" s="28">
        <v>0.0</v>
      </c>
      <c r="N10" s="28">
        <v>0.00299978256225585</v>
      </c>
      <c r="O10" s="32"/>
      <c r="P10" s="31"/>
      <c r="Q10" s="31"/>
      <c r="R10" s="29" t="s">
        <v>140</v>
      </c>
      <c r="S10" s="28">
        <v>0.0</v>
      </c>
      <c r="T10" s="28">
        <v>0.00200223922729492</v>
      </c>
      <c r="U10" s="3" t="str">
        <f t="shared" si="2"/>
        <v>#DIV/0!</v>
      </c>
      <c r="V10" s="3">
        <f t="shared" si="1"/>
        <v>0</v>
      </c>
      <c r="W10" s="3"/>
      <c r="X10" s="3"/>
      <c r="Y10" s="3"/>
      <c r="Z10" s="3"/>
      <c r="AA10" s="3"/>
      <c r="AB10" s="6"/>
    </row>
    <row r="11" ht="30.0" customHeight="1">
      <c r="A11" s="1">
        <v>7.0</v>
      </c>
      <c r="B11" s="24" t="s">
        <v>141</v>
      </c>
      <c r="C11" s="25" t="s">
        <v>142</v>
      </c>
      <c r="D11" s="26">
        <v>0.25</v>
      </c>
      <c r="E11" s="26">
        <v>0.0100078582763671</v>
      </c>
      <c r="F11" s="27"/>
      <c r="G11" s="28"/>
      <c r="H11" s="28"/>
      <c r="I11" s="29"/>
      <c r="J11" s="28"/>
      <c r="K11" s="28"/>
      <c r="L11" s="29" t="s">
        <v>143</v>
      </c>
      <c r="M11" s="28">
        <v>0.25</v>
      </c>
      <c r="N11" s="28">
        <v>0.00700020790100097</v>
      </c>
      <c r="O11" s="32"/>
      <c r="P11" s="31"/>
      <c r="Q11" s="31"/>
      <c r="R11" s="29" t="s">
        <v>144</v>
      </c>
      <c r="S11" s="28">
        <v>0.25</v>
      </c>
      <c r="T11" s="28">
        <v>0.00200200080871582</v>
      </c>
      <c r="U11" s="3">
        <f t="shared" si="2"/>
        <v>0</v>
      </c>
      <c r="V11" s="3">
        <f t="shared" si="1"/>
        <v>4.998928189</v>
      </c>
      <c r="W11" s="3"/>
      <c r="X11" s="3"/>
      <c r="Y11" s="3"/>
      <c r="Z11" s="3"/>
      <c r="AA11" s="3"/>
      <c r="AB11" s="6"/>
    </row>
    <row r="12" ht="30.0" customHeight="1">
      <c r="A12" s="1">
        <v>8.0</v>
      </c>
      <c r="B12" s="24" t="s">
        <v>145</v>
      </c>
      <c r="C12" s="25" t="s">
        <v>146</v>
      </c>
      <c r="D12" s="26">
        <v>0.25</v>
      </c>
      <c r="E12" s="26">
        <v>0.0102190971374511</v>
      </c>
      <c r="F12" s="27"/>
      <c r="G12" s="28"/>
      <c r="H12" s="28"/>
      <c r="I12" s="29"/>
      <c r="J12" s="28"/>
      <c r="K12" s="28"/>
      <c r="L12" s="29" t="s">
        <v>147</v>
      </c>
      <c r="M12" s="28">
        <v>0.25</v>
      </c>
      <c r="N12" s="28">
        <v>0.00601077079772949</v>
      </c>
      <c r="O12" s="32"/>
      <c r="P12" s="31"/>
      <c r="Q12" s="31"/>
      <c r="R12" s="29" t="s">
        <v>148</v>
      </c>
      <c r="S12" s="28">
        <v>0.25</v>
      </c>
      <c r="T12" s="28">
        <v>0.00200223922729492</v>
      </c>
      <c r="U12" s="3">
        <f t="shared" si="2"/>
        <v>0</v>
      </c>
      <c r="V12" s="3">
        <f t="shared" si="1"/>
        <v>5.103834246</v>
      </c>
      <c r="W12" s="3"/>
      <c r="X12" s="3"/>
      <c r="Y12" s="3"/>
      <c r="Z12" s="3"/>
      <c r="AA12" s="3"/>
      <c r="AB12" s="6"/>
    </row>
    <row r="13" ht="30.0" customHeight="1">
      <c r="A13" s="1">
        <v>9.0</v>
      </c>
      <c r="B13" s="24" t="s">
        <v>23</v>
      </c>
      <c r="C13" s="25" t="s">
        <v>24</v>
      </c>
      <c r="D13" s="26">
        <v>0.25</v>
      </c>
      <c r="E13" s="26">
        <v>0.0106813907623291</v>
      </c>
      <c r="F13" s="27"/>
      <c r="G13" s="28"/>
      <c r="H13" s="28"/>
      <c r="I13" s="29"/>
      <c r="J13" s="28"/>
      <c r="K13" s="28"/>
      <c r="L13" s="29" t="s">
        <v>25</v>
      </c>
      <c r="M13" s="28">
        <v>0.25</v>
      </c>
      <c r="N13" s="28">
        <v>0.00500822067260742</v>
      </c>
      <c r="O13" s="32"/>
      <c r="P13" s="31"/>
      <c r="Q13" s="31"/>
      <c r="R13" s="29" t="s">
        <v>26</v>
      </c>
      <c r="S13" s="28">
        <v>0.25</v>
      </c>
      <c r="T13" s="28">
        <v>0.00100612640380859</v>
      </c>
      <c r="U13" s="3">
        <f t="shared" si="2"/>
        <v>0</v>
      </c>
      <c r="V13" s="3">
        <f t="shared" si="1"/>
        <v>10.61635071</v>
      </c>
      <c r="W13" s="3"/>
      <c r="X13" s="3"/>
      <c r="Y13" s="3"/>
      <c r="Z13" s="3"/>
      <c r="AA13" s="3"/>
      <c r="AB13" s="6"/>
    </row>
    <row r="14" ht="30.0" customHeight="1">
      <c r="A14" s="1">
        <v>10.0</v>
      </c>
      <c r="B14" s="24" t="s">
        <v>149</v>
      </c>
      <c r="C14" s="25" t="s">
        <v>150</v>
      </c>
      <c r="D14" s="26">
        <v>0.0</v>
      </c>
      <c r="E14" s="26">
        <v>0.00957512855529785</v>
      </c>
      <c r="F14" s="27"/>
      <c r="G14" s="28"/>
      <c r="H14" s="28"/>
      <c r="I14" s="29"/>
      <c r="J14" s="28"/>
      <c r="K14" s="28"/>
      <c r="L14" s="29" t="s">
        <v>151</v>
      </c>
      <c r="M14" s="28">
        <v>0.0</v>
      </c>
      <c r="N14" s="28">
        <v>0.00299954414367675</v>
      </c>
      <c r="O14" s="32"/>
      <c r="P14" s="31"/>
      <c r="Q14" s="31"/>
      <c r="R14" s="29" t="s">
        <v>152</v>
      </c>
      <c r="S14" s="28">
        <v>0.0</v>
      </c>
      <c r="T14" s="28">
        <v>0.00185799598693847</v>
      </c>
      <c r="U14" s="3" t="str">
        <f t="shared" si="2"/>
        <v>#DIV/0!</v>
      </c>
      <c r="V14" s="3">
        <f t="shared" si="1"/>
        <v>5.153471064</v>
      </c>
      <c r="W14" s="3"/>
      <c r="X14" s="3"/>
      <c r="Y14" s="3"/>
      <c r="Z14" s="3"/>
      <c r="AA14" s="3"/>
      <c r="AB14" s="6"/>
    </row>
    <row r="15" ht="30.0" customHeight="1">
      <c r="A15" s="1">
        <v>11.0</v>
      </c>
      <c r="B15" s="24" t="s">
        <v>31</v>
      </c>
      <c r="C15" s="25" t="s">
        <v>32</v>
      </c>
      <c r="D15" s="26">
        <v>0.0</v>
      </c>
      <c r="E15" s="26">
        <v>0.00651764869689941</v>
      </c>
      <c r="F15" s="27"/>
      <c r="G15" s="28"/>
      <c r="H15" s="28"/>
      <c r="I15" s="29"/>
      <c r="J15" s="28"/>
      <c r="K15" s="28"/>
      <c r="L15" s="29" t="s">
        <v>33</v>
      </c>
      <c r="M15" s="28">
        <v>0.0</v>
      </c>
      <c r="N15" s="28">
        <v>0.00201058387756347</v>
      </c>
      <c r="O15" s="32"/>
      <c r="P15" s="31"/>
      <c r="Q15" s="31"/>
      <c r="R15" s="29" t="s">
        <v>34</v>
      </c>
      <c r="S15" s="28">
        <v>0.0</v>
      </c>
      <c r="T15" s="28">
        <v>9.96351242065429E-4</v>
      </c>
      <c r="U15" s="3" t="str">
        <f t="shared" si="2"/>
        <v>#DIV/0!</v>
      </c>
      <c r="V15" s="3">
        <f t="shared" si="1"/>
        <v>6.541517109</v>
      </c>
      <c r="W15" s="3"/>
      <c r="X15" s="3"/>
      <c r="Y15" s="3"/>
      <c r="Z15" s="3"/>
      <c r="AA15" s="3"/>
      <c r="AB15" s="6"/>
    </row>
    <row r="16" ht="30.0" customHeight="1">
      <c r="A16" s="1">
        <v>12.0</v>
      </c>
      <c r="B16" s="24" t="s">
        <v>39</v>
      </c>
      <c r="C16" s="25" t="s">
        <v>40</v>
      </c>
      <c r="D16" s="26">
        <v>0.0</v>
      </c>
      <c r="E16" s="26">
        <v>0.0</v>
      </c>
      <c r="F16" s="27"/>
      <c r="G16" s="28"/>
      <c r="H16" s="28"/>
      <c r="I16" s="29"/>
      <c r="J16" s="28"/>
      <c r="K16" s="28"/>
      <c r="L16" s="29" t="s">
        <v>41</v>
      </c>
      <c r="M16" s="28">
        <v>0.0</v>
      </c>
      <c r="N16" s="28">
        <v>0.00200819969177246</v>
      </c>
      <c r="O16" s="32"/>
      <c r="P16" s="31"/>
      <c r="Q16" s="31"/>
      <c r="R16" s="29" t="s">
        <v>42</v>
      </c>
      <c r="S16" s="28">
        <v>0.0</v>
      </c>
      <c r="T16" s="28">
        <v>0.0020153522491455</v>
      </c>
      <c r="U16" s="3" t="str">
        <f t="shared" si="2"/>
        <v>#DIV/0!</v>
      </c>
      <c r="V16" s="3">
        <f t="shared" si="1"/>
        <v>0</v>
      </c>
      <c r="W16" s="3"/>
      <c r="X16" s="3"/>
      <c r="Y16" s="3"/>
      <c r="Z16" s="3"/>
      <c r="AA16" s="3"/>
      <c r="AB16" s="6"/>
    </row>
    <row r="17" ht="30.0" customHeight="1">
      <c r="A17" s="1">
        <v>13.0</v>
      </c>
      <c r="B17" s="24" t="s">
        <v>153</v>
      </c>
      <c r="C17" s="25" t="s">
        <v>154</v>
      </c>
      <c r="D17" s="26">
        <v>0.0</v>
      </c>
      <c r="E17" s="26">
        <v>0.0</v>
      </c>
      <c r="F17" s="27"/>
      <c r="G17" s="28"/>
      <c r="H17" s="28"/>
      <c r="I17" s="29"/>
      <c r="J17" s="28"/>
      <c r="K17" s="28"/>
      <c r="L17" s="29" t="s">
        <v>155</v>
      </c>
      <c r="M17" s="28">
        <v>0.0</v>
      </c>
      <c r="N17" s="28">
        <v>0.00199699401855468</v>
      </c>
      <c r="O17" s="32"/>
      <c r="P17" s="31"/>
      <c r="Q17" s="31"/>
      <c r="R17" s="29" t="s">
        <v>156</v>
      </c>
      <c r="S17" s="28">
        <v>0.0</v>
      </c>
      <c r="T17" s="28">
        <v>0.00199532508850097</v>
      </c>
      <c r="U17" s="3" t="str">
        <f t="shared" si="2"/>
        <v>#DIV/0!</v>
      </c>
      <c r="V17" s="3">
        <f t="shared" si="1"/>
        <v>0</v>
      </c>
      <c r="W17" s="3"/>
      <c r="X17" s="3"/>
      <c r="Y17" s="3"/>
      <c r="Z17" s="3"/>
      <c r="AA17" s="3"/>
      <c r="AB17" s="6"/>
    </row>
    <row r="18" ht="30.0" customHeight="1">
      <c r="A18" s="1">
        <v>14.0</v>
      </c>
      <c r="B18" s="24" t="s">
        <v>157</v>
      </c>
      <c r="C18" s="25" t="s">
        <v>158</v>
      </c>
      <c r="D18" s="26">
        <v>0.25</v>
      </c>
      <c r="E18" s="26">
        <v>0.0</v>
      </c>
      <c r="F18" s="27"/>
      <c r="G18" s="28"/>
      <c r="H18" s="28"/>
      <c r="I18" s="29"/>
      <c r="J18" s="28"/>
      <c r="K18" s="28"/>
      <c r="L18" s="29" t="s">
        <v>159</v>
      </c>
      <c r="M18" s="28">
        <v>0.25</v>
      </c>
      <c r="N18" s="28">
        <v>0.00499963760375976</v>
      </c>
      <c r="O18" s="32"/>
      <c r="P18" s="31"/>
      <c r="Q18" s="31"/>
      <c r="R18" s="29" t="s">
        <v>160</v>
      </c>
      <c r="S18" s="28">
        <v>0.25</v>
      </c>
      <c r="T18" s="28">
        <v>0.00200319290161132</v>
      </c>
      <c r="U18" s="3">
        <f t="shared" si="2"/>
        <v>0</v>
      </c>
      <c r="V18" s="3">
        <f t="shared" si="1"/>
        <v>0</v>
      </c>
      <c r="W18" s="3"/>
      <c r="X18" s="3"/>
      <c r="Y18" s="3"/>
      <c r="Z18" s="3"/>
      <c r="AA18" s="3"/>
      <c r="AB18" s="6"/>
    </row>
    <row r="19" ht="30.0" customHeight="1">
      <c r="A19" s="1">
        <v>15.0</v>
      </c>
      <c r="B19" s="24" t="s">
        <v>161</v>
      </c>
      <c r="C19" s="42" t="s">
        <v>162</v>
      </c>
      <c r="D19" s="26">
        <v>0.0</v>
      </c>
      <c r="E19" s="26">
        <v>0.0</v>
      </c>
      <c r="F19" s="27"/>
      <c r="G19" s="28"/>
      <c r="H19" s="28"/>
      <c r="I19" s="29"/>
      <c r="J19" s="28"/>
      <c r="K19" s="28"/>
      <c r="L19" s="29" t="s">
        <v>163</v>
      </c>
      <c r="M19" s="28">
        <v>0.0</v>
      </c>
      <c r="N19" s="28">
        <v>0.00500917434692382</v>
      </c>
      <c r="O19" s="32"/>
      <c r="P19" s="31"/>
      <c r="Q19" s="31"/>
      <c r="R19" s="43" t="s">
        <v>164</v>
      </c>
      <c r="S19" s="28">
        <v>0.0</v>
      </c>
      <c r="T19" s="28">
        <v>0.00300073623657226</v>
      </c>
      <c r="U19" s="3" t="str">
        <f t="shared" si="2"/>
        <v>#DIV/0!</v>
      </c>
      <c r="V19" s="3">
        <f t="shared" si="1"/>
        <v>0</v>
      </c>
      <c r="W19" s="3"/>
      <c r="X19" s="3"/>
      <c r="Y19" s="3"/>
      <c r="Z19" s="3"/>
      <c r="AA19" s="3"/>
      <c r="AB19" s="6"/>
    </row>
    <row r="20" ht="30.0" customHeight="1">
      <c r="A20" s="1">
        <v>16.0</v>
      </c>
      <c r="B20" s="24" t="s">
        <v>165</v>
      </c>
      <c r="C20" s="25" t="s">
        <v>166</v>
      </c>
      <c r="D20" s="26">
        <v>0.0</v>
      </c>
      <c r="E20" s="26">
        <v>0.00461697578430175</v>
      </c>
      <c r="F20" s="27"/>
      <c r="G20" s="28"/>
      <c r="H20" s="28"/>
      <c r="I20" s="29"/>
      <c r="J20" s="28"/>
      <c r="K20" s="28"/>
      <c r="L20" s="29" t="s">
        <v>167</v>
      </c>
      <c r="M20" s="28">
        <v>0.0</v>
      </c>
      <c r="N20" s="28">
        <v>0.00300025939941406</v>
      </c>
      <c r="O20" s="32"/>
      <c r="P20" s="31"/>
      <c r="Q20" s="31"/>
      <c r="R20" s="29" t="s">
        <v>168</v>
      </c>
      <c r="S20" s="28">
        <v>0.0</v>
      </c>
      <c r="T20" s="28">
        <v>0.00185298919677734</v>
      </c>
      <c r="U20" s="3" t="str">
        <f t="shared" si="2"/>
        <v>#DIV/0!</v>
      </c>
      <c r="V20" s="3">
        <f t="shared" si="1"/>
        <v>2.491636644</v>
      </c>
      <c r="W20" s="3"/>
      <c r="X20" s="3"/>
      <c r="Y20" s="3"/>
      <c r="Z20" s="3"/>
      <c r="AA20" s="3"/>
      <c r="AB20" s="6"/>
    </row>
    <row r="21" ht="30.0" customHeight="1">
      <c r="A21" s="1">
        <v>17.0</v>
      </c>
      <c r="B21" s="24" t="s">
        <v>169</v>
      </c>
      <c r="C21" s="25" t="s">
        <v>170</v>
      </c>
      <c r="D21" s="26">
        <v>0.0</v>
      </c>
      <c r="E21" s="26">
        <v>0.00251173973083496</v>
      </c>
      <c r="F21" s="27"/>
      <c r="G21" s="28"/>
      <c r="H21" s="28"/>
      <c r="I21" s="29"/>
      <c r="J21" s="28"/>
      <c r="K21" s="28"/>
      <c r="L21" s="29" t="s">
        <v>171</v>
      </c>
      <c r="M21" s="28">
        <v>0.0</v>
      </c>
      <c r="N21" s="28">
        <v>0.00201988220214843</v>
      </c>
      <c r="O21" s="32"/>
      <c r="P21" s="31"/>
      <c r="Q21" s="31"/>
      <c r="R21" s="29" t="s">
        <v>172</v>
      </c>
      <c r="S21" s="28">
        <v>0.0</v>
      </c>
      <c r="T21" s="28">
        <v>0.00200557708740234</v>
      </c>
      <c r="U21" s="3" t="str">
        <f t="shared" si="2"/>
        <v>#DIV/0!</v>
      </c>
      <c r="V21" s="3">
        <f t="shared" si="1"/>
        <v>1.252377556</v>
      </c>
      <c r="W21" s="3"/>
      <c r="X21" s="3"/>
      <c r="Y21" s="3"/>
      <c r="Z21" s="3"/>
      <c r="AA21" s="3"/>
      <c r="AB21" s="6"/>
    </row>
    <row r="22" ht="30.0" customHeight="1">
      <c r="A22" s="1">
        <v>18.0</v>
      </c>
      <c r="B22" s="24" t="s">
        <v>173</v>
      </c>
      <c r="C22" s="25" t="s">
        <v>174</v>
      </c>
      <c r="D22" s="26">
        <v>0.0</v>
      </c>
      <c r="E22" s="26">
        <v>0.0</v>
      </c>
      <c r="F22" s="27"/>
      <c r="G22" s="28"/>
      <c r="H22" s="28"/>
      <c r="I22" s="29"/>
      <c r="J22" s="28"/>
      <c r="K22" s="28"/>
      <c r="L22" s="29" t="s">
        <v>175</v>
      </c>
      <c r="M22" s="28">
        <v>0.0</v>
      </c>
      <c r="N22" s="28">
        <v>0.0019998550415039</v>
      </c>
      <c r="O22" s="32"/>
      <c r="P22" s="31"/>
      <c r="Q22" s="31"/>
      <c r="R22" s="29" t="s">
        <v>176</v>
      </c>
      <c r="S22" s="28">
        <v>0.0</v>
      </c>
      <c r="T22" s="28">
        <v>0.00182580947875976</v>
      </c>
      <c r="U22" s="3" t="str">
        <f t="shared" si="2"/>
        <v>#DIV/0!</v>
      </c>
      <c r="V22" s="3">
        <f t="shared" si="1"/>
        <v>0</v>
      </c>
      <c r="W22" s="3"/>
      <c r="X22" s="3"/>
      <c r="Y22" s="3"/>
      <c r="Z22" s="3"/>
      <c r="AA22" s="3"/>
      <c r="AB22" s="6"/>
    </row>
    <row r="23" ht="30.0" customHeight="1">
      <c r="A23" s="1">
        <v>19.0</v>
      </c>
      <c r="B23" s="24" t="s">
        <v>177</v>
      </c>
      <c r="C23" s="25" t="s">
        <v>178</v>
      </c>
      <c r="D23" s="26">
        <v>0.0</v>
      </c>
      <c r="E23" s="26">
        <v>0.0</v>
      </c>
      <c r="F23" s="27"/>
      <c r="G23" s="28"/>
      <c r="H23" s="28"/>
      <c r="I23" s="29"/>
      <c r="J23" s="28"/>
      <c r="K23" s="28"/>
      <c r="L23" s="29" t="s">
        <v>179</v>
      </c>
      <c r="M23" s="28">
        <v>0.0</v>
      </c>
      <c r="N23" s="28">
        <v>0.00201106071472167</v>
      </c>
      <c r="O23" s="32"/>
      <c r="P23" s="31"/>
      <c r="Q23" s="31"/>
      <c r="R23" s="29" t="s">
        <v>180</v>
      </c>
      <c r="S23" s="28">
        <v>0.0</v>
      </c>
      <c r="T23" s="28">
        <v>0.00177240371704101</v>
      </c>
      <c r="U23" s="3" t="str">
        <f t="shared" si="2"/>
        <v>#DIV/0!</v>
      </c>
      <c r="V23" s="3">
        <f t="shared" si="1"/>
        <v>0</v>
      </c>
      <c r="W23" s="3"/>
      <c r="X23" s="3"/>
      <c r="Y23" s="3"/>
      <c r="Z23" s="3"/>
      <c r="AA23" s="3"/>
      <c r="AB23" s="6"/>
    </row>
    <row r="24" ht="30.0" customHeight="1">
      <c r="A24" s="1">
        <v>20.0</v>
      </c>
      <c r="B24" s="24" t="s">
        <v>181</v>
      </c>
      <c r="C24" s="25" t="s">
        <v>182</v>
      </c>
      <c r="D24" s="26">
        <v>0.0</v>
      </c>
      <c r="E24" s="26">
        <v>0.0102057456970214</v>
      </c>
      <c r="F24" s="27"/>
      <c r="G24" s="28"/>
      <c r="H24" s="28"/>
      <c r="I24" s="29"/>
      <c r="J24" s="28"/>
      <c r="K24" s="28"/>
      <c r="L24" s="29" t="s">
        <v>183</v>
      </c>
      <c r="M24" s="28">
        <v>0.0</v>
      </c>
      <c r="N24" s="28">
        <v>9.99927520751953E-4</v>
      </c>
      <c r="O24" s="32"/>
      <c r="P24" s="31"/>
      <c r="Q24" s="31"/>
      <c r="R24" s="29" t="s">
        <v>184</v>
      </c>
      <c r="S24" s="28">
        <v>0.0</v>
      </c>
      <c r="T24" s="28">
        <v>0.00180816650390625</v>
      </c>
      <c r="U24" s="3" t="str">
        <f t="shared" si="2"/>
        <v>#DIV/0!</v>
      </c>
      <c r="V24" s="3">
        <f t="shared" si="1"/>
        <v>5.644251055</v>
      </c>
      <c r="W24" s="3"/>
      <c r="X24" s="3"/>
      <c r="Y24" s="3"/>
      <c r="Z24" s="3"/>
      <c r="AA24" s="3"/>
      <c r="AB24" s="6"/>
    </row>
    <row r="25" ht="30.0" customHeight="1">
      <c r="A25" s="1">
        <v>21.0</v>
      </c>
      <c r="B25" s="24" t="s">
        <v>185</v>
      </c>
      <c r="C25" s="25" t="s">
        <v>186</v>
      </c>
      <c r="D25" s="26">
        <v>0.0</v>
      </c>
      <c r="E25" s="26">
        <v>0.00994825363159179</v>
      </c>
      <c r="F25" s="27"/>
      <c r="G25" s="28"/>
      <c r="H25" s="28"/>
      <c r="I25" s="29"/>
      <c r="J25" s="28"/>
      <c r="K25" s="28"/>
      <c r="L25" s="29" t="s">
        <v>187</v>
      </c>
      <c r="M25" s="28">
        <v>0.0</v>
      </c>
      <c r="N25" s="28">
        <v>0.00300908088684082</v>
      </c>
      <c r="O25" s="32"/>
      <c r="P25" s="31"/>
      <c r="Q25" s="31"/>
      <c r="R25" s="29" t="s">
        <v>188</v>
      </c>
      <c r="S25" s="28">
        <v>0.0</v>
      </c>
      <c r="T25" s="28">
        <v>0.00200247764587402</v>
      </c>
      <c r="U25" s="3" t="str">
        <f t="shared" si="2"/>
        <v>#DIV/0!</v>
      </c>
      <c r="V25" s="3">
        <f t="shared" si="1"/>
        <v>4.967972378</v>
      </c>
      <c r="W25" s="3"/>
      <c r="X25" s="3"/>
      <c r="Y25" s="3"/>
      <c r="Z25" s="3"/>
      <c r="AA25" s="3"/>
      <c r="AB25" s="6"/>
    </row>
    <row r="26" ht="30.0" customHeight="1">
      <c r="A26" s="1">
        <v>22.0</v>
      </c>
      <c r="B26" s="24" t="s">
        <v>189</v>
      </c>
      <c r="C26" s="42" t="s">
        <v>190</v>
      </c>
      <c r="D26" s="26">
        <v>0.0</v>
      </c>
      <c r="E26" s="26">
        <v>0.0</v>
      </c>
      <c r="F26" s="27"/>
      <c r="G26" s="28"/>
      <c r="H26" s="28"/>
      <c r="I26" s="29"/>
      <c r="J26" s="28"/>
      <c r="K26" s="28"/>
      <c r="L26" s="29" t="s">
        <v>191</v>
      </c>
      <c r="M26" s="28">
        <v>0.0</v>
      </c>
      <c r="N26" s="28">
        <v>0.00199794769287109</v>
      </c>
      <c r="O26" s="32"/>
      <c r="P26" s="31"/>
      <c r="Q26" s="31"/>
      <c r="R26" s="43" t="s">
        <v>192</v>
      </c>
      <c r="S26" s="28">
        <v>0.0</v>
      </c>
      <c r="T26" s="28">
        <v>0.00199270248413085</v>
      </c>
      <c r="U26" s="3" t="str">
        <f t="shared" si="2"/>
        <v>#DIV/0!</v>
      </c>
      <c r="V26" s="3">
        <f t="shared" si="1"/>
        <v>0</v>
      </c>
      <c r="W26" s="3"/>
      <c r="X26" s="3"/>
      <c r="Y26" s="3"/>
      <c r="Z26" s="3"/>
      <c r="AA26" s="3"/>
      <c r="AB26" s="6"/>
    </row>
    <row r="27" ht="30.0" customHeight="1">
      <c r="A27" s="1">
        <v>23.0</v>
      </c>
      <c r="B27" s="24" t="s">
        <v>60</v>
      </c>
      <c r="C27" s="25" t="s">
        <v>61</v>
      </c>
      <c r="D27" s="26">
        <v>0.0</v>
      </c>
      <c r="E27" s="26">
        <v>0.0</v>
      </c>
      <c r="F27" s="27"/>
      <c r="G27" s="28"/>
      <c r="H27" s="28"/>
      <c r="I27" s="29"/>
      <c r="J27" s="28"/>
      <c r="K27" s="28"/>
      <c r="L27" s="29" t="s">
        <v>62</v>
      </c>
      <c r="M27" s="28">
        <v>0.0</v>
      </c>
      <c r="N27" s="28">
        <v>0.00201892852783203</v>
      </c>
      <c r="O27" s="32"/>
      <c r="P27" s="31"/>
      <c r="Q27" s="31"/>
      <c r="R27" s="29" t="s">
        <v>63</v>
      </c>
      <c r="S27" s="28">
        <v>0.0</v>
      </c>
      <c r="T27" s="28">
        <v>9.96351242065429E-4</v>
      </c>
      <c r="U27" s="3" t="str">
        <f t="shared" si="2"/>
        <v>#DIV/0!</v>
      </c>
      <c r="V27" s="3">
        <f t="shared" si="1"/>
        <v>0</v>
      </c>
      <c r="W27" s="3"/>
      <c r="X27" s="3"/>
      <c r="Y27" s="3"/>
      <c r="Z27" s="3"/>
      <c r="AA27" s="3"/>
      <c r="AB27" s="6"/>
    </row>
    <row r="28" ht="30.0" customHeight="1">
      <c r="A28" s="1">
        <v>24.0</v>
      </c>
      <c r="B28" s="24" t="s">
        <v>193</v>
      </c>
      <c r="C28" s="25" t="s">
        <v>194</v>
      </c>
      <c r="D28" s="26">
        <v>0.0</v>
      </c>
      <c r="E28" s="26">
        <v>0.0</v>
      </c>
      <c r="F28" s="27"/>
      <c r="G28" s="28"/>
      <c r="H28" s="28"/>
      <c r="I28" s="29"/>
      <c r="J28" s="28"/>
      <c r="K28" s="28"/>
      <c r="L28" s="29" t="s">
        <v>195</v>
      </c>
      <c r="M28" s="28">
        <v>0.0</v>
      </c>
      <c r="N28" s="28">
        <v>0.00200819969177246</v>
      </c>
      <c r="O28" s="32"/>
      <c r="P28" s="31"/>
      <c r="Q28" s="31"/>
      <c r="R28" s="29" t="s">
        <v>196</v>
      </c>
      <c r="S28" s="28">
        <v>0.0</v>
      </c>
      <c r="T28" s="28">
        <v>0.00112175941467285</v>
      </c>
      <c r="U28" s="3" t="str">
        <f t="shared" si="2"/>
        <v>#DIV/0!</v>
      </c>
      <c r="V28" s="3">
        <f t="shared" si="1"/>
        <v>0</v>
      </c>
      <c r="W28" s="3"/>
      <c r="X28" s="3"/>
      <c r="Y28" s="3"/>
      <c r="Z28" s="3"/>
      <c r="AA28" s="3"/>
      <c r="AB28" s="6"/>
    </row>
    <row r="29" ht="30.0" customHeight="1">
      <c r="A29" s="1">
        <v>25.0</v>
      </c>
      <c r="B29" s="24" t="s">
        <v>68</v>
      </c>
      <c r="C29" s="25" t="s">
        <v>69</v>
      </c>
      <c r="D29" s="26">
        <v>0.0</v>
      </c>
      <c r="E29" s="26">
        <v>0.00638341903686523</v>
      </c>
      <c r="F29" s="27"/>
      <c r="G29" s="28"/>
      <c r="H29" s="28"/>
      <c r="I29" s="29"/>
      <c r="J29" s="28"/>
      <c r="K29" s="28"/>
      <c r="L29" s="29" t="s">
        <v>70</v>
      </c>
      <c r="M29" s="28">
        <v>0.0</v>
      </c>
      <c r="N29" s="28">
        <v>0.00100898742675781</v>
      </c>
      <c r="O29" s="32"/>
      <c r="P29" s="31"/>
      <c r="Q29" s="31"/>
      <c r="R29" s="29" t="s">
        <v>71</v>
      </c>
      <c r="S29" s="28">
        <v>0.0</v>
      </c>
      <c r="T29" s="28">
        <v>9.97066497802734E-4</v>
      </c>
      <c r="U29" s="3" t="str">
        <f t="shared" si="2"/>
        <v>#DIV/0!</v>
      </c>
      <c r="V29" s="3">
        <f t="shared" si="1"/>
        <v>6.402199904</v>
      </c>
      <c r="W29" s="3"/>
      <c r="X29" s="3"/>
      <c r="Y29" s="3"/>
      <c r="Z29" s="3"/>
      <c r="AA29" s="3"/>
      <c r="AB29" s="6"/>
    </row>
    <row r="30" ht="30.0" customHeight="1">
      <c r="A30" s="1">
        <v>26.0</v>
      </c>
      <c r="B30" s="35" t="s">
        <v>76</v>
      </c>
      <c r="C30" s="25" t="s">
        <v>77</v>
      </c>
      <c r="D30" s="26">
        <v>0.0</v>
      </c>
      <c r="E30" s="26">
        <v>0.0</v>
      </c>
      <c r="F30" s="27"/>
      <c r="G30" s="28"/>
      <c r="H30" s="28"/>
      <c r="I30" s="29"/>
      <c r="J30" s="28"/>
      <c r="K30" s="28"/>
      <c r="L30" s="29" t="s">
        <v>78</v>
      </c>
      <c r="M30" s="28">
        <v>0.0</v>
      </c>
      <c r="N30" s="28">
        <v>0.00201058387756347</v>
      </c>
      <c r="O30" s="32"/>
      <c r="P30" s="31"/>
      <c r="Q30" s="31"/>
      <c r="R30" s="29" t="s">
        <v>79</v>
      </c>
      <c r="S30" s="28">
        <v>0.0</v>
      </c>
      <c r="T30" s="28">
        <v>0.00100588798522949</v>
      </c>
      <c r="U30" s="3" t="str">
        <f t="shared" si="2"/>
        <v>#DIV/0!</v>
      </c>
      <c r="V30" s="3">
        <f t="shared" si="1"/>
        <v>0</v>
      </c>
      <c r="W30" s="3"/>
      <c r="X30" s="3"/>
      <c r="Y30" s="3"/>
      <c r="Z30" s="3"/>
      <c r="AA30" s="3"/>
      <c r="AB30" s="6"/>
    </row>
    <row r="31" ht="30.0" customHeight="1">
      <c r="A31" s="1">
        <v>27.0</v>
      </c>
      <c r="B31" s="35" t="s">
        <v>197</v>
      </c>
      <c r="C31" s="25" t="s">
        <v>198</v>
      </c>
      <c r="D31" s="26">
        <v>0.0</v>
      </c>
      <c r="E31" s="26">
        <v>0.0</v>
      </c>
      <c r="F31" s="27"/>
      <c r="G31" s="28"/>
      <c r="H31" s="28"/>
      <c r="I31" s="29"/>
      <c r="J31" s="28"/>
      <c r="K31" s="28"/>
      <c r="L31" s="29" t="s">
        <v>199</v>
      </c>
      <c r="M31" s="28">
        <v>0.0</v>
      </c>
      <c r="N31" s="28">
        <v>0.00100946426391601</v>
      </c>
      <c r="O31" s="32"/>
      <c r="P31" s="31"/>
      <c r="Q31" s="31"/>
      <c r="R31" s="29" t="s">
        <v>200</v>
      </c>
      <c r="S31" s="28">
        <v>0.0</v>
      </c>
      <c r="T31" s="28">
        <v>0.00100612640380859</v>
      </c>
      <c r="U31" s="3" t="str">
        <f t="shared" si="2"/>
        <v>#DIV/0!</v>
      </c>
      <c r="V31" s="3">
        <f t="shared" si="1"/>
        <v>0</v>
      </c>
      <c r="W31" s="3"/>
      <c r="X31" s="3"/>
      <c r="Y31" s="3"/>
      <c r="Z31" s="3"/>
      <c r="AA31" s="3"/>
      <c r="AB31" s="6"/>
    </row>
    <row r="32" ht="30.0" customHeight="1">
      <c r="A32" s="1">
        <v>28.0</v>
      </c>
      <c r="B32" s="35" t="s">
        <v>201</v>
      </c>
      <c r="C32" s="25" t="s">
        <v>202</v>
      </c>
      <c r="D32" s="26">
        <v>0.0</v>
      </c>
      <c r="E32" s="26">
        <v>0.00756120681762695</v>
      </c>
      <c r="F32" s="27"/>
      <c r="G32" s="28"/>
      <c r="H32" s="28"/>
      <c r="I32" s="29"/>
      <c r="J32" s="28"/>
      <c r="K32" s="28"/>
      <c r="L32" s="29" t="s">
        <v>203</v>
      </c>
      <c r="M32" s="28">
        <v>0.0</v>
      </c>
      <c r="N32" s="28">
        <v>0.00100970268249511</v>
      </c>
      <c r="O32" s="32"/>
      <c r="P32" s="31"/>
      <c r="Q32" s="31"/>
      <c r="R32" s="29" t="s">
        <v>204</v>
      </c>
      <c r="S32" s="28">
        <v>0.0</v>
      </c>
      <c r="T32" s="28">
        <v>9.84430313110351E-4</v>
      </c>
      <c r="U32" s="3" t="str">
        <f t="shared" si="2"/>
        <v>#DIV/0!</v>
      </c>
      <c r="V32" s="3">
        <f t="shared" si="1"/>
        <v>7.680794381</v>
      </c>
      <c r="W32" s="3"/>
      <c r="X32" s="3"/>
      <c r="Y32" s="3"/>
      <c r="Z32" s="3"/>
      <c r="AA32" s="3"/>
      <c r="AB32" s="6"/>
    </row>
    <row r="33" ht="30.0" customHeight="1">
      <c r="A33" s="1">
        <v>29.0</v>
      </c>
      <c r="B33" s="35" t="s">
        <v>205</v>
      </c>
      <c r="C33" s="25" t="s">
        <v>206</v>
      </c>
      <c r="D33" s="26">
        <v>0.5</v>
      </c>
      <c r="E33" s="26">
        <v>0.013559341430664</v>
      </c>
      <c r="F33" s="27"/>
      <c r="G33" s="28"/>
      <c r="H33" s="28"/>
      <c r="I33" s="29"/>
      <c r="J33" s="28"/>
      <c r="K33" s="28"/>
      <c r="L33" s="29" t="s">
        <v>207</v>
      </c>
      <c r="M33" s="28">
        <v>0.5</v>
      </c>
      <c r="N33" s="28">
        <v>0.00298738479614257</v>
      </c>
      <c r="O33" s="32"/>
      <c r="P33" s="31"/>
      <c r="Q33" s="31"/>
      <c r="R33" s="29" t="s">
        <v>208</v>
      </c>
      <c r="S33" s="28">
        <v>0.5</v>
      </c>
      <c r="T33" s="28">
        <v>9.96351242065429E-4</v>
      </c>
      <c r="U33" s="3">
        <f t="shared" si="2"/>
        <v>0</v>
      </c>
      <c r="V33" s="3">
        <f t="shared" si="1"/>
        <v>13.60899737</v>
      </c>
      <c r="W33" s="3"/>
      <c r="X33" s="3"/>
      <c r="Y33" s="3"/>
      <c r="Z33" s="3"/>
      <c r="AA33" s="3"/>
      <c r="AB33" s="6"/>
    </row>
    <row r="34" ht="30.0" customHeight="1">
      <c r="A34" s="1">
        <v>30.0</v>
      </c>
      <c r="B34" s="35" t="s">
        <v>97</v>
      </c>
      <c r="C34" s="25" t="s">
        <v>209</v>
      </c>
      <c r="D34" s="26">
        <v>0.25</v>
      </c>
      <c r="E34" s="26">
        <v>0.0</v>
      </c>
      <c r="F34" s="27"/>
      <c r="G34" s="28"/>
      <c r="H34" s="28"/>
      <c r="I34" s="29"/>
      <c r="J34" s="28"/>
      <c r="K34" s="28"/>
      <c r="L34" s="29" t="s">
        <v>99</v>
      </c>
      <c r="M34" s="28">
        <v>0.25</v>
      </c>
      <c r="N34" s="28">
        <v>0.00200819969177246</v>
      </c>
      <c r="O34" s="32"/>
      <c r="P34" s="31"/>
      <c r="Q34" s="31"/>
      <c r="R34" s="29" t="s">
        <v>210</v>
      </c>
      <c r="S34" s="28">
        <v>0.25</v>
      </c>
      <c r="T34" s="28">
        <v>6.91413879394531E-4</v>
      </c>
      <c r="U34" s="3">
        <f t="shared" si="2"/>
        <v>0</v>
      </c>
      <c r="V34" s="3">
        <f t="shared" si="1"/>
        <v>0</v>
      </c>
      <c r="W34" s="3"/>
      <c r="X34" s="3"/>
      <c r="Y34" s="3"/>
      <c r="Z34" s="3"/>
      <c r="AA34" s="3"/>
      <c r="AB34" s="6"/>
    </row>
    <row r="35" ht="30.0" customHeight="1">
      <c r="A35" s="1">
        <v>31.0</v>
      </c>
      <c r="B35" s="35" t="s">
        <v>211</v>
      </c>
      <c r="C35" s="25" t="s">
        <v>212</v>
      </c>
      <c r="D35" s="26">
        <v>0.0</v>
      </c>
      <c r="E35" s="26">
        <v>0.010190725326538</v>
      </c>
      <c r="F35" s="27"/>
      <c r="G35" s="28"/>
      <c r="H35" s="28"/>
      <c r="I35" s="29"/>
      <c r="J35" s="28"/>
      <c r="K35" s="28"/>
      <c r="L35" s="29" t="s">
        <v>213</v>
      </c>
      <c r="M35" s="28">
        <v>0.0</v>
      </c>
      <c r="N35" s="28">
        <v>0.0020003318786621</v>
      </c>
      <c r="O35" s="32"/>
      <c r="P35" s="31"/>
      <c r="Q35" s="31"/>
      <c r="R35" s="29" t="s">
        <v>214</v>
      </c>
      <c r="S35" s="28">
        <v>0.0</v>
      </c>
      <c r="T35" s="28">
        <v>9.92298126220703E-4</v>
      </c>
      <c r="U35" s="3" t="str">
        <f t="shared" si="2"/>
        <v>#DIV/0!</v>
      </c>
      <c r="V35" s="3">
        <f t="shared" si="1"/>
        <v>10.2698222</v>
      </c>
      <c r="W35" s="3"/>
      <c r="X35" s="3"/>
      <c r="Y35" s="3"/>
      <c r="Z35" s="3"/>
      <c r="AA35" s="3"/>
      <c r="AB35" s="6"/>
    </row>
    <row r="36" ht="30.0" customHeight="1">
      <c r="A36" s="1">
        <v>32.0</v>
      </c>
      <c r="B36" s="35" t="s">
        <v>105</v>
      </c>
      <c r="C36" s="25" t="s">
        <v>106</v>
      </c>
      <c r="D36" s="26">
        <v>0.0</v>
      </c>
      <c r="E36" s="26">
        <v>0.00303411483764648</v>
      </c>
      <c r="F36" s="27"/>
      <c r="G36" s="28"/>
      <c r="H36" s="28"/>
      <c r="I36" s="29"/>
      <c r="J36" s="28"/>
      <c r="K36" s="28"/>
      <c r="L36" s="29" t="s">
        <v>107</v>
      </c>
      <c r="M36" s="28">
        <v>0.0</v>
      </c>
      <c r="N36" s="28">
        <v>0.00100135803222656</v>
      </c>
      <c r="O36" s="32"/>
      <c r="P36" s="31"/>
      <c r="Q36" s="31"/>
      <c r="R36" s="29" t="s">
        <v>108</v>
      </c>
      <c r="S36" s="28">
        <v>0.0</v>
      </c>
      <c r="T36" s="28">
        <v>9.96112823486328E-4</v>
      </c>
      <c r="U36" s="3" t="str">
        <f t="shared" si="2"/>
        <v>#DIV/0!</v>
      </c>
      <c r="V36" s="3">
        <f t="shared" si="1"/>
        <v>3.045955002</v>
      </c>
      <c r="W36" s="3"/>
      <c r="X36" s="3"/>
      <c r="Y36" s="3"/>
      <c r="Z36" s="3"/>
      <c r="AA36" s="3"/>
      <c r="AB36" s="6"/>
    </row>
    <row r="37" ht="30.0" customHeight="1">
      <c r="A37" s="1">
        <v>33.0</v>
      </c>
      <c r="B37" s="35" t="s">
        <v>215</v>
      </c>
      <c r="C37" s="25" t="s">
        <v>216</v>
      </c>
      <c r="D37" s="26">
        <v>0.0</v>
      </c>
      <c r="E37" s="26">
        <v>0.0</v>
      </c>
      <c r="F37" s="27"/>
      <c r="G37" s="28"/>
      <c r="H37" s="28"/>
      <c r="I37" s="29"/>
      <c r="J37" s="28"/>
      <c r="K37" s="28"/>
      <c r="L37" s="29" t="s">
        <v>217</v>
      </c>
      <c r="M37" s="28">
        <v>0.0</v>
      </c>
      <c r="N37" s="28">
        <v>0.00102114677429199</v>
      </c>
      <c r="O37" s="32"/>
      <c r="P37" s="31"/>
      <c r="Q37" s="31"/>
      <c r="R37" s="29" t="s">
        <v>218</v>
      </c>
      <c r="S37" s="28">
        <v>0.0</v>
      </c>
      <c r="T37" s="28">
        <v>9.9492073059082E-4</v>
      </c>
      <c r="U37" s="3" t="str">
        <f t="shared" si="2"/>
        <v>#DIV/0!</v>
      </c>
      <c r="V37" s="3">
        <f t="shared" si="1"/>
        <v>0</v>
      </c>
      <c r="W37" s="3"/>
      <c r="X37" s="3"/>
      <c r="Y37" s="3"/>
      <c r="Z37" s="3"/>
      <c r="AA37" s="3"/>
      <c r="AB37" s="6"/>
    </row>
    <row r="38" ht="30.0" customHeight="1">
      <c r="A38" s="1">
        <v>34.0</v>
      </c>
      <c r="B38" s="35" t="s">
        <v>219</v>
      </c>
      <c r="C38" s="25" t="s">
        <v>220</v>
      </c>
      <c r="D38" s="26">
        <v>0.0</v>
      </c>
      <c r="E38" s="26">
        <v>0.0</v>
      </c>
      <c r="F38" s="27"/>
      <c r="G38" s="28"/>
      <c r="H38" s="28"/>
      <c r="I38" s="29"/>
      <c r="J38" s="28"/>
      <c r="K38" s="28"/>
      <c r="L38" s="29" t="s">
        <v>221</v>
      </c>
      <c r="M38" s="28">
        <v>0.0</v>
      </c>
      <c r="N38" s="28">
        <v>0.00101017951965332</v>
      </c>
      <c r="O38" s="32"/>
      <c r="P38" s="31"/>
      <c r="Q38" s="31"/>
      <c r="R38" s="29" t="s">
        <v>222</v>
      </c>
      <c r="S38" s="28">
        <v>0.0</v>
      </c>
      <c r="T38" s="28">
        <v>9.97304916381836E-4</v>
      </c>
      <c r="U38" s="3" t="str">
        <f t="shared" si="2"/>
        <v>#DIV/0!</v>
      </c>
      <c r="V38" s="3">
        <f t="shared" si="1"/>
        <v>0</v>
      </c>
      <c r="W38" s="3"/>
      <c r="X38" s="3"/>
      <c r="Y38" s="3"/>
      <c r="Z38" s="3"/>
      <c r="AA38" s="3"/>
      <c r="AB38" s="6"/>
    </row>
    <row r="39" ht="30.0" customHeight="1">
      <c r="A39" s="1">
        <v>35.0</v>
      </c>
      <c r="B39" s="35" t="s">
        <v>223</v>
      </c>
      <c r="C39" s="25" t="s">
        <v>224</v>
      </c>
      <c r="D39" s="26">
        <v>0.25</v>
      </c>
      <c r="E39" s="26">
        <v>0.0071115493774414</v>
      </c>
      <c r="F39" s="27"/>
      <c r="G39" s="28"/>
      <c r="H39" s="28"/>
      <c r="I39" s="29"/>
      <c r="J39" s="28"/>
      <c r="K39" s="28"/>
      <c r="L39" s="29" t="s">
        <v>225</v>
      </c>
      <c r="M39" s="28">
        <v>0.25</v>
      </c>
      <c r="N39" s="28">
        <v>0.00199866294860839</v>
      </c>
      <c r="O39" s="32"/>
      <c r="P39" s="31"/>
      <c r="Q39" s="31"/>
      <c r="R39" s="29" t="s">
        <v>226</v>
      </c>
      <c r="S39" s="28">
        <v>0.25</v>
      </c>
      <c r="T39" s="28">
        <v>9.84668731689453E-4</v>
      </c>
      <c r="U39" s="3">
        <f t="shared" si="2"/>
        <v>0</v>
      </c>
      <c r="V39" s="3">
        <f t="shared" si="1"/>
        <v>7.222276029</v>
      </c>
      <c r="W39" s="3"/>
      <c r="X39" s="3"/>
      <c r="Y39" s="3"/>
      <c r="Z39" s="3"/>
      <c r="AA39" s="3"/>
      <c r="AB39" s="6"/>
    </row>
    <row r="40" ht="30.0" customHeight="1">
      <c r="A40" s="1">
        <v>36.0</v>
      </c>
      <c r="B40" s="35" t="s">
        <v>227</v>
      </c>
      <c r="C40" s="25" t="s">
        <v>228</v>
      </c>
      <c r="D40" s="26">
        <v>0.0</v>
      </c>
      <c r="E40" s="26">
        <v>0.0</v>
      </c>
      <c r="F40" s="27"/>
      <c r="G40" s="28"/>
      <c r="H40" s="28"/>
      <c r="I40" s="29"/>
      <c r="J40" s="28"/>
      <c r="K40" s="28"/>
      <c r="L40" s="29" t="s">
        <v>229</v>
      </c>
      <c r="M40" s="28">
        <v>0.0</v>
      </c>
      <c r="N40" s="28">
        <v>0.00299930572509765</v>
      </c>
      <c r="O40" s="32"/>
      <c r="P40" s="31"/>
      <c r="Q40" s="31"/>
      <c r="R40" s="29" t="s">
        <v>230</v>
      </c>
      <c r="S40" s="28">
        <v>0.0</v>
      </c>
      <c r="T40" s="28">
        <v>9.96589660644531E-4</v>
      </c>
      <c r="U40" s="3" t="str">
        <f t="shared" si="2"/>
        <v>#DIV/0!</v>
      </c>
      <c r="V40" s="3">
        <f t="shared" si="1"/>
        <v>0</v>
      </c>
      <c r="W40" s="3"/>
      <c r="X40" s="3"/>
      <c r="Y40" s="3"/>
      <c r="Z40" s="3"/>
      <c r="AA40" s="3"/>
      <c r="AB40" s="6"/>
    </row>
    <row r="41" ht="30.0" customHeight="1">
      <c r="A41" s="1">
        <v>37.0</v>
      </c>
      <c r="B41" s="35" t="s">
        <v>231</v>
      </c>
      <c r="C41" s="25" t="s">
        <v>232</v>
      </c>
      <c r="D41" s="26">
        <v>0.0</v>
      </c>
      <c r="E41" s="26">
        <v>0.0034034252166748</v>
      </c>
      <c r="F41" s="27"/>
      <c r="G41" s="28"/>
      <c r="H41" s="28"/>
      <c r="I41" s="29"/>
      <c r="J41" s="28"/>
      <c r="K41" s="28"/>
      <c r="L41" s="29" t="s">
        <v>233</v>
      </c>
      <c r="M41" s="28">
        <v>0.0</v>
      </c>
      <c r="N41" s="28">
        <v>0.00100088119506835</v>
      </c>
      <c r="O41" s="32"/>
      <c r="P41" s="31"/>
      <c r="Q41" s="31"/>
      <c r="R41" s="29" t="s">
        <v>234</v>
      </c>
      <c r="S41" s="28">
        <v>0.0</v>
      </c>
      <c r="T41" s="28">
        <v>8.0108642578125E-4</v>
      </c>
      <c r="U41" s="3" t="str">
        <f t="shared" si="2"/>
        <v>#DIV/0!</v>
      </c>
      <c r="V41" s="3">
        <f t="shared" si="1"/>
        <v>4.248511905</v>
      </c>
      <c r="W41" s="3"/>
      <c r="X41" s="3"/>
      <c r="Y41" s="3"/>
      <c r="Z41" s="3"/>
      <c r="AA41" s="3"/>
      <c r="AB41" s="6"/>
    </row>
    <row r="42" ht="30.0" customHeight="1">
      <c r="A42" s="1">
        <v>38.0</v>
      </c>
      <c r="B42" s="35" t="s">
        <v>235</v>
      </c>
      <c r="C42" s="25" t="s">
        <v>236</v>
      </c>
      <c r="D42" s="26">
        <v>0.0</v>
      </c>
      <c r="E42" s="26">
        <v>0.0</v>
      </c>
      <c r="F42" s="27"/>
      <c r="G42" s="28"/>
      <c r="H42" s="28"/>
      <c r="I42" s="29"/>
      <c r="J42" s="28"/>
      <c r="K42" s="28"/>
      <c r="L42" s="29" t="s">
        <v>237</v>
      </c>
      <c r="M42" s="28">
        <v>0.0</v>
      </c>
      <c r="N42" s="28">
        <v>0.00200963020324707</v>
      </c>
      <c r="O42" s="32"/>
      <c r="P42" s="31"/>
      <c r="Q42" s="31"/>
      <c r="R42" s="29" t="s">
        <v>238</v>
      </c>
      <c r="S42" s="28">
        <v>0.0</v>
      </c>
      <c r="T42" s="28">
        <v>9.96351242065429E-4</v>
      </c>
      <c r="U42" s="3" t="str">
        <f t="shared" si="2"/>
        <v>#DIV/0!</v>
      </c>
      <c r="V42" s="3">
        <f t="shared" si="1"/>
        <v>0</v>
      </c>
      <c r="W42" s="3"/>
      <c r="X42" s="3"/>
      <c r="Y42" s="3"/>
      <c r="Z42" s="3"/>
      <c r="AA42" s="3"/>
      <c r="AB42" s="6"/>
    </row>
    <row r="43" ht="30.0" customHeight="1">
      <c r="A43" s="1">
        <v>39.0</v>
      </c>
      <c r="B43" s="35" t="s">
        <v>239</v>
      </c>
      <c r="C43" s="25" t="s">
        <v>240</v>
      </c>
      <c r="D43" s="26">
        <v>0.0</v>
      </c>
      <c r="E43" s="26">
        <v>0.0</v>
      </c>
      <c r="F43" s="27"/>
      <c r="G43" s="28"/>
      <c r="H43" s="28"/>
      <c r="I43" s="29"/>
      <c r="J43" s="28"/>
      <c r="K43" s="28"/>
      <c r="L43" s="29" t="s">
        <v>241</v>
      </c>
      <c r="M43" s="28">
        <v>0.0</v>
      </c>
      <c r="N43" s="28">
        <v>0.00200915336608886</v>
      </c>
      <c r="O43" s="32"/>
      <c r="P43" s="31"/>
      <c r="Q43" s="31"/>
      <c r="R43" s="29" t="s">
        <v>242</v>
      </c>
      <c r="S43" s="28">
        <v>0.0</v>
      </c>
      <c r="T43" s="28">
        <v>9.96828079223632E-4</v>
      </c>
      <c r="U43" s="3" t="str">
        <f t="shared" si="2"/>
        <v>#DIV/0!</v>
      </c>
      <c r="V43" s="3">
        <f t="shared" si="1"/>
        <v>0</v>
      </c>
      <c r="W43" s="3"/>
      <c r="X43" s="3"/>
      <c r="Y43" s="3"/>
      <c r="Z43" s="3"/>
      <c r="AA43" s="3"/>
      <c r="AB43" s="6"/>
    </row>
    <row r="44" ht="30.0" customHeight="1">
      <c r="A44" s="1">
        <v>40.0</v>
      </c>
      <c r="B44" s="35" t="s">
        <v>243</v>
      </c>
      <c r="C44" s="25" t="s">
        <v>244</v>
      </c>
      <c r="D44" s="26">
        <v>0.0</v>
      </c>
      <c r="E44" s="26">
        <v>0.0</v>
      </c>
      <c r="F44" s="27"/>
      <c r="G44" s="28"/>
      <c r="H44" s="28"/>
      <c r="I44" s="29"/>
      <c r="J44" s="28"/>
      <c r="K44" s="28"/>
      <c r="L44" s="29" t="s">
        <v>245</v>
      </c>
      <c r="M44" s="28">
        <v>0.0</v>
      </c>
      <c r="N44" s="28">
        <v>0.00100040435791015</v>
      </c>
      <c r="O44" s="32"/>
      <c r="P44" s="31"/>
      <c r="Q44" s="31"/>
      <c r="R44" s="29" t="s">
        <v>246</v>
      </c>
      <c r="S44" s="28">
        <v>0.0</v>
      </c>
      <c r="T44" s="28">
        <v>9.84430313110351E-4</v>
      </c>
      <c r="U44" s="3" t="str">
        <f t="shared" si="2"/>
        <v>#DIV/0!</v>
      </c>
      <c r="V44" s="3">
        <f t="shared" si="1"/>
        <v>0</v>
      </c>
      <c r="W44" s="3"/>
      <c r="X44" s="3"/>
      <c r="Y44" s="3"/>
      <c r="Z44" s="3"/>
      <c r="AA44" s="3"/>
      <c r="AB44" s="6"/>
    </row>
    <row r="45" ht="30.0" customHeight="1">
      <c r="A45" s="1">
        <v>41.0</v>
      </c>
      <c r="B45" s="35" t="s">
        <v>247</v>
      </c>
      <c r="C45" s="25" t="s">
        <v>248</v>
      </c>
      <c r="D45" s="26">
        <v>0.0</v>
      </c>
      <c r="E45" s="26">
        <v>0.00640201568603515</v>
      </c>
      <c r="F45" s="27"/>
      <c r="G45" s="28"/>
      <c r="H45" s="28"/>
      <c r="I45" s="29"/>
      <c r="J45" s="28"/>
      <c r="K45" s="28"/>
      <c r="L45" s="29" t="s">
        <v>249</v>
      </c>
      <c r="M45" s="28">
        <v>0.0</v>
      </c>
      <c r="N45" s="28">
        <v>0.00100040435791015</v>
      </c>
      <c r="O45" s="32"/>
      <c r="P45" s="31"/>
      <c r="Q45" s="31"/>
      <c r="R45" s="29" t="s">
        <v>250</v>
      </c>
      <c r="S45" s="28">
        <v>0.0</v>
      </c>
      <c r="T45" s="28">
        <v>9.95635986328125E-4</v>
      </c>
      <c r="U45" s="3" t="str">
        <f t="shared" si="2"/>
        <v>#DIV/0!</v>
      </c>
      <c r="V45" s="3">
        <f t="shared" si="1"/>
        <v>6.430076628</v>
      </c>
      <c r="W45" s="3"/>
      <c r="X45" s="3"/>
      <c r="Y45" s="3"/>
      <c r="Z45" s="3"/>
      <c r="AA45" s="3"/>
      <c r="AB45" s="6"/>
    </row>
    <row r="46" ht="30.0" customHeight="1">
      <c r="A46" s="1">
        <v>42.0</v>
      </c>
      <c r="B46" s="35" t="s">
        <v>251</v>
      </c>
      <c r="C46" s="25" t="s">
        <v>252</v>
      </c>
      <c r="D46" s="26">
        <v>0.0</v>
      </c>
      <c r="E46" s="26">
        <v>0.0035562515258789</v>
      </c>
      <c r="F46" s="27"/>
      <c r="G46" s="28"/>
      <c r="H46" s="28"/>
      <c r="I46" s="29"/>
      <c r="J46" s="28"/>
      <c r="K46" s="28"/>
      <c r="L46" s="29" t="s">
        <v>253</v>
      </c>
      <c r="M46" s="28">
        <v>0.0</v>
      </c>
      <c r="N46" s="28">
        <v>0.00200200080871582</v>
      </c>
      <c r="O46" s="32"/>
      <c r="P46" s="31"/>
      <c r="Q46" s="31"/>
      <c r="R46" s="29" t="s">
        <v>254</v>
      </c>
      <c r="S46" s="28">
        <v>0.0</v>
      </c>
      <c r="T46" s="28">
        <v>0.00100660324096679</v>
      </c>
      <c r="U46" s="3" t="str">
        <f t="shared" si="2"/>
        <v>#DIV/0!</v>
      </c>
      <c r="V46" s="3">
        <f t="shared" si="1"/>
        <v>3.532922785</v>
      </c>
      <c r="W46" s="3"/>
      <c r="X46" s="3"/>
      <c r="Y46" s="3"/>
      <c r="Z46" s="3"/>
      <c r="AA46" s="3"/>
      <c r="AB46" s="6"/>
    </row>
    <row r="47" ht="30.0" customHeight="1">
      <c r="A47" s="1">
        <v>43.0</v>
      </c>
      <c r="B47" s="35" t="s">
        <v>255</v>
      </c>
      <c r="C47" s="25" t="s">
        <v>256</v>
      </c>
      <c r="D47" s="26">
        <v>0.0</v>
      </c>
      <c r="E47" s="26">
        <v>0.00580239295959472</v>
      </c>
      <c r="F47" s="27"/>
      <c r="G47" s="28"/>
      <c r="H47" s="28"/>
      <c r="I47" s="29"/>
      <c r="J47" s="28"/>
      <c r="K47" s="28"/>
      <c r="L47" s="29" t="s">
        <v>257</v>
      </c>
      <c r="M47" s="28">
        <v>0.0</v>
      </c>
      <c r="N47" s="28">
        <v>0.00700163841247558</v>
      </c>
      <c r="O47" s="32"/>
      <c r="P47" s="31"/>
      <c r="Q47" s="31"/>
      <c r="R47" s="29" t="s">
        <v>257</v>
      </c>
      <c r="S47" s="28">
        <v>0.0</v>
      </c>
      <c r="T47" s="28">
        <v>0.00200438499450683</v>
      </c>
      <c r="U47" s="3" t="str">
        <f t="shared" si="2"/>
        <v>#DIV/0!</v>
      </c>
      <c r="V47" s="3">
        <f t="shared" si="1"/>
        <v>2.89484953</v>
      </c>
      <c r="W47" s="3"/>
      <c r="X47" s="3"/>
      <c r="Y47" s="3"/>
      <c r="Z47" s="3"/>
      <c r="AA47" s="3"/>
      <c r="AB47" s="6"/>
    </row>
    <row r="48" ht="30.0" customHeight="1">
      <c r="A48" s="1">
        <v>44.0</v>
      </c>
      <c r="B48" s="35" t="s">
        <v>258</v>
      </c>
      <c r="C48" s="25" t="s">
        <v>259</v>
      </c>
      <c r="D48" s="26">
        <v>0.0</v>
      </c>
      <c r="E48" s="26">
        <v>0.0</v>
      </c>
      <c r="F48" s="27"/>
      <c r="G48" s="28"/>
      <c r="H48" s="28"/>
      <c r="I48" s="29"/>
      <c r="J48" s="28"/>
      <c r="K48" s="28"/>
      <c r="L48" s="29" t="s">
        <v>260</v>
      </c>
      <c r="M48" s="28">
        <v>0.0</v>
      </c>
      <c r="N48" s="28">
        <v>0.00300931930541992</v>
      </c>
      <c r="O48" s="32"/>
      <c r="P48" s="31"/>
      <c r="Q48" s="31"/>
      <c r="R48" s="29" t="s">
        <v>261</v>
      </c>
      <c r="S48" s="28">
        <v>0.0</v>
      </c>
      <c r="T48" s="28">
        <v>0.00126051902770996</v>
      </c>
      <c r="U48" s="3" t="str">
        <f t="shared" si="2"/>
        <v>#DIV/0!</v>
      </c>
      <c r="V48" s="3">
        <f t="shared" si="1"/>
        <v>0</v>
      </c>
      <c r="W48" s="3"/>
      <c r="X48" s="3"/>
      <c r="Y48" s="3"/>
      <c r="Z48" s="3"/>
      <c r="AA48" s="3"/>
      <c r="AB48" s="6"/>
    </row>
    <row r="49" ht="30.0" customHeight="1">
      <c r="A49" s="1">
        <v>45.0</v>
      </c>
      <c r="B49" s="35" t="s">
        <v>262</v>
      </c>
      <c r="C49" s="25" t="s">
        <v>263</v>
      </c>
      <c r="D49" s="26">
        <v>0.25</v>
      </c>
      <c r="E49" s="26">
        <v>0.0</v>
      </c>
      <c r="F49" s="27"/>
      <c r="G49" s="28"/>
      <c r="H49" s="28"/>
      <c r="I49" s="29"/>
      <c r="J49" s="28"/>
      <c r="K49" s="28"/>
      <c r="L49" s="29" t="s">
        <v>264</v>
      </c>
      <c r="M49" s="28">
        <v>0.25</v>
      </c>
      <c r="N49" s="28">
        <v>0.00499987602233886</v>
      </c>
      <c r="O49" s="32"/>
      <c r="P49" s="31"/>
      <c r="Q49" s="31"/>
      <c r="R49" s="29" t="s">
        <v>265</v>
      </c>
      <c r="S49" s="28">
        <v>0.25</v>
      </c>
      <c r="T49" s="28">
        <v>0.00200200080871582</v>
      </c>
      <c r="U49" s="3">
        <f t="shared" si="2"/>
        <v>0</v>
      </c>
      <c r="V49" s="3">
        <f t="shared" si="1"/>
        <v>0</v>
      </c>
      <c r="W49" s="3"/>
      <c r="X49" s="3"/>
      <c r="Y49" s="3"/>
      <c r="Z49" s="3"/>
      <c r="AA49" s="3"/>
      <c r="AB49" s="6"/>
    </row>
    <row r="50" ht="30.0" customHeight="1">
      <c r="A50" s="1">
        <v>46.0</v>
      </c>
      <c r="B50" s="35" t="s">
        <v>266</v>
      </c>
      <c r="C50" s="25" t="s">
        <v>267</v>
      </c>
      <c r="D50" s="26">
        <v>0.0</v>
      </c>
      <c r="E50" s="26">
        <v>0.0</v>
      </c>
      <c r="F50" s="27"/>
      <c r="G50" s="28"/>
      <c r="H50" s="28"/>
      <c r="I50" s="29"/>
      <c r="J50" s="28"/>
      <c r="K50" s="28"/>
      <c r="L50" s="29" t="s">
        <v>268</v>
      </c>
      <c r="M50" s="28">
        <v>0.0</v>
      </c>
      <c r="N50" s="28">
        <v>0.00200152397155761</v>
      </c>
      <c r="O50" s="32"/>
      <c r="P50" s="31"/>
      <c r="Q50" s="31"/>
      <c r="R50" s="29" t="s">
        <v>269</v>
      </c>
      <c r="S50" s="28">
        <v>0.0</v>
      </c>
      <c r="T50" s="28">
        <v>0.00150346755981445</v>
      </c>
      <c r="U50" s="3" t="str">
        <f t="shared" si="2"/>
        <v>#DIV/0!</v>
      </c>
      <c r="V50" s="3">
        <f t="shared" si="1"/>
        <v>0</v>
      </c>
      <c r="W50" s="3"/>
      <c r="X50" s="3"/>
      <c r="Y50" s="3"/>
      <c r="Z50" s="3"/>
      <c r="AA50" s="3"/>
      <c r="AB50" s="6"/>
    </row>
    <row r="51" ht="30.0" customHeight="1">
      <c r="A51" s="1">
        <v>47.0</v>
      </c>
      <c r="B51" s="35" t="s">
        <v>270</v>
      </c>
      <c r="C51" s="25" t="s">
        <v>271</v>
      </c>
      <c r="D51" s="26">
        <v>0.0</v>
      </c>
      <c r="E51" s="26">
        <v>0.0</v>
      </c>
      <c r="F51" s="27"/>
      <c r="G51" s="28"/>
      <c r="H51" s="28"/>
      <c r="I51" s="29"/>
      <c r="J51" s="28"/>
      <c r="K51" s="28"/>
      <c r="L51" s="29" t="s">
        <v>272</v>
      </c>
      <c r="M51" s="28">
        <v>0.0</v>
      </c>
      <c r="N51" s="28">
        <v>0.00198721885681152</v>
      </c>
      <c r="O51" s="32"/>
      <c r="P51" s="31"/>
      <c r="Q51" s="31"/>
      <c r="R51" s="29" t="s">
        <v>273</v>
      </c>
      <c r="S51" s="28">
        <v>0.0</v>
      </c>
      <c r="T51" s="28">
        <v>9.96351242065429E-4</v>
      </c>
      <c r="U51" s="3" t="str">
        <f t="shared" si="2"/>
        <v>#DIV/0!</v>
      </c>
      <c r="V51" s="3">
        <f t="shared" si="1"/>
        <v>0</v>
      </c>
      <c r="W51" s="3"/>
      <c r="X51" s="3"/>
      <c r="Y51" s="3"/>
      <c r="Z51" s="3"/>
      <c r="AA51" s="3"/>
      <c r="AB51" s="6"/>
    </row>
    <row r="52" ht="30.0" customHeight="1">
      <c r="A52" s="1">
        <v>48.0</v>
      </c>
      <c r="B52" s="35" t="s">
        <v>274</v>
      </c>
      <c r="C52" s="25" t="s">
        <v>275</v>
      </c>
      <c r="D52" s="26">
        <v>0.0</v>
      </c>
      <c r="E52" s="26">
        <v>0.0100002288818359</v>
      </c>
      <c r="F52" s="27"/>
      <c r="G52" s="28"/>
      <c r="H52" s="28"/>
      <c r="I52" s="29"/>
      <c r="J52" s="28"/>
      <c r="K52" s="28"/>
      <c r="L52" s="29" t="s">
        <v>276</v>
      </c>
      <c r="M52" s="28">
        <v>0.0</v>
      </c>
      <c r="N52" s="28">
        <v>0.00201082229614257</v>
      </c>
      <c r="O52" s="32"/>
      <c r="P52" s="31"/>
      <c r="Q52" s="31"/>
      <c r="R52" s="29" t="s">
        <v>277</v>
      </c>
      <c r="S52" s="28">
        <v>0.0</v>
      </c>
      <c r="T52" s="28">
        <v>0.00100612640380859</v>
      </c>
      <c r="U52" s="3" t="str">
        <f t="shared" si="2"/>
        <v>#DIV/0!</v>
      </c>
      <c r="V52" s="3">
        <f t="shared" si="1"/>
        <v>9.939336493</v>
      </c>
      <c r="W52" s="3"/>
      <c r="X52" s="3"/>
      <c r="Y52" s="3"/>
      <c r="Z52" s="3"/>
      <c r="AA52" s="3"/>
      <c r="AB52" s="6"/>
    </row>
    <row r="53" ht="30.0" customHeight="1">
      <c r="A53" s="1">
        <v>49.0</v>
      </c>
      <c r="B53" s="35" t="s">
        <v>278</v>
      </c>
      <c r="C53" s="25" t="s">
        <v>279</v>
      </c>
      <c r="D53" s="26">
        <v>0.0</v>
      </c>
      <c r="E53" s="26">
        <v>0.00587749481201171</v>
      </c>
      <c r="F53" s="27"/>
      <c r="G53" s="28"/>
      <c r="H53" s="28"/>
      <c r="I53" s="29"/>
      <c r="J53" s="28"/>
      <c r="K53" s="28"/>
      <c r="L53" s="29" t="s">
        <v>280</v>
      </c>
      <c r="M53" s="28">
        <v>0.0</v>
      </c>
      <c r="N53" s="28">
        <v>0.00501394271850585</v>
      </c>
      <c r="O53" s="32"/>
      <c r="P53" s="31"/>
      <c r="Q53" s="31"/>
      <c r="R53" s="29" t="s">
        <v>280</v>
      </c>
      <c r="S53" s="28">
        <v>0.0</v>
      </c>
      <c r="T53" s="28">
        <v>0.00199294090270996</v>
      </c>
      <c r="U53" s="3" t="str">
        <f t="shared" si="2"/>
        <v>#DIV/0!</v>
      </c>
      <c r="V53" s="3">
        <f t="shared" si="1"/>
        <v>2.949156598</v>
      </c>
      <c r="W53" s="3"/>
      <c r="X53" s="3"/>
      <c r="Y53" s="3"/>
      <c r="Z53" s="3"/>
      <c r="AA53" s="3"/>
      <c r="AB53" s="6"/>
    </row>
    <row r="54" ht="30.0" customHeight="1">
      <c r="A54" s="1">
        <v>50.0</v>
      </c>
      <c r="B54" s="35"/>
      <c r="C54" s="25"/>
      <c r="D54" s="26"/>
      <c r="E54" s="26"/>
      <c r="F54" s="27"/>
      <c r="G54" s="28"/>
      <c r="H54" s="28"/>
      <c r="I54" s="29"/>
      <c r="J54" s="28"/>
      <c r="K54" s="28"/>
      <c r="L54" s="29"/>
      <c r="M54" s="28"/>
      <c r="N54" s="28"/>
      <c r="O54" s="32"/>
      <c r="P54" s="31"/>
      <c r="Q54" s="31"/>
      <c r="R54" s="29"/>
      <c r="S54" s="28"/>
      <c r="T54" s="28"/>
      <c r="U54" s="3"/>
      <c r="V54" s="3">
        <f>AVERAGE(V5:V53)</f>
        <v>2.928146922</v>
      </c>
      <c r="W54" s="3"/>
      <c r="X54" s="3"/>
      <c r="Y54" s="3"/>
      <c r="Z54" s="3"/>
      <c r="AA54" s="3"/>
      <c r="AB54" s="6"/>
    </row>
    <row r="55" ht="15.75" customHeight="1">
      <c r="A55" s="36"/>
      <c r="C55" s="35"/>
      <c r="D55" s="2"/>
      <c r="E55" s="37">
        <f>SUM(E5:E54)</f>
        <v>0.1995179653</v>
      </c>
      <c r="F55" s="2"/>
      <c r="G55" s="2"/>
      <c r="H55" s="38">
        <f>SUM(H5:H54)</f>
        <v>0</v>
      </c>
      <c r="I55" s="2"/>
      <c r="J55" s="2"/>
      <c r="K55" s="38">
        <f>SUM(K5:K54)</f>
        <v>0</v>
      </c>
      <c r="L55" s="2"/>
      <c r="M55" s="2"/>
      <c r="N55" s="38">
        <f>SUM(N5:N54)</f>
        <v>0.1412470341</v>
      </c>
      <c r="O55" s="35"/>
      <c r="P55" s="2"/>
      <c r="Q55" s="2"/>
      <c r="R55" s="2"/>
      <c r="S55" s="2"/>
      <c r="T55" s="38">
        <f>SUM(T5:T54)</f>
        <v>0.07343864441</v>
      </c>
      <c r="U55" s="3"/>
      <c r="V55" s="3"/>
      <c r="W55" s="3"/>
      <c r="X55" s="3"/>
      <c r="Y55" s="3"/>
      <c r="Z55" s="3"/>
      <c r="AA55" s="3"/>
      <c r="AB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2"/>
      <c r="J56" s="2"/>
      <c r="K56" s="2"/>
      <c r="L56" s="2"/>
      <c r="M56" s="2"/>
      <c r="N56" s="2"/>
      <c r="O56" s="35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ht="15.75" customHeight="1">
      <c r="A57" s="36"/>
      <c r="C57" s="35"/>
      <c r="D57" s="2" t="s">
        <v>281</v>
      </c>
      <c r="E57" s="39">
        <f>((50-2)/50)*100</f>
        <v>96</v>
      </c>
      <c r="F57" s="2"/>
      <c r="G57" s="2"/>
      <c r="H57" s="2"/>
      <c r="I57" s="2"/>
      <c r="J57" s="2"/>
      <c r="K57" s="2"/>
      <c r="L57" s="2"/>
      <c r="M57" s="2"/>
      <c r="N57" s="2"/>
      <c r="O57" s="35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ht="15.75" customHeight="1">
      <c r="A58" s="36"/>
      <c r="C58" s="35"/>
      <c r="D58" s="2"/>
      <c r="E58" s="39">
        <v>0.0</v>
      </c>
      <c r="F58" s="2"/>
      <c r="G58" s="2"/>
      <c r="H58" s="2"/>
      <c r="I58" s="2"/>
      <c r="J58" s="2"/>
      <c r="K58" s="2"/>
      <c r="L58" s="2"/>
      <c r="M58" s="2"/>
      <c r="N58" s="2"/>
      <c r="O58" s="35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ht="15.75" customHeight="1">
      <c r="A59" s="36"/>
      <c r="C59" s="35"/>
      <c r="D59" s="2"/>
      <c r="E59" s="39" t="s">
        <v>282</v>
      </c>
      <c r="F59" s="2"/>
      <c r="G59" s="2"/>
      <c r="H59" s="2"/>
      <c r="I59" s="2"/>
      <c r="J59" s="2"/>
      <c r="K59" s="2"/>
      <c r="L59" s="2"/>
      <c r="M59" s="2"/>
      <c r="N59" s="2"/>
      <c r="O59" s="35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ht="15.75" customHeight="1">
      <c r="A60" s="36"/>
      <c r="C60" s="35"/>
      <c r="D60" s="2"/>
      <c r="E60" s="39"/>
      <c r="F60" s="2"/>
      <c r="G60" s="2"/>
      <c r="H60" s="2"/>
      <c r="I60" s="2"/>
      <c r="J60" s="2"/>
      <c r="K60" s="2"/>
      <c r="L60" s="2"/>
      <c r="M60" s="2"/>
      <c r="N60" s="2"/>
      <c r="O60" s="35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ht="15.75" customHeight="1">
      <c r="A61" s="36"/>
      <c r="C61" s="35"/>
      <c r="D61" s="2"/>
      <c r="E61" s="39"/>
      <c r="F61" s="2"/>
      <c r="G61" s="2"/>
      <c r="H61" s="2"/>
      <c r="I61" s="2"/>
      <c r="J61" s="2"/>
      <c r="K61" s="2"/>
      <c r="L61" s="2"/>
      <c r="M61" s="2"/>
      <c r="N61" s="2"/>
      <c r="O61" s="35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ht="15.75" customHeight="1">
      <c r="A62" s="36"/>
      <c r="C62" s="35"/>
      <c r="D62" s="2"/>
      <c r="E62" s="39"/>
      <c r="F62" s="2"/>
      <c r="G62" s="2"/>
      <c r="H62" s="2"/>
      <c r="I62" s="2"/>
      <c r="J62" s="2"/>
      <c r="K62" s="2"/>
      <c r="L62" s="2"/>
      <c r="M62" s="2"/>
      <c r="N62" s="2"/>
      <c r="O62" s="35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ht="15.75" customHeight="1">
      <c r="A63" s="36"/>
      <c r="C63" s="35"/>
      <c r="D63" s="2"/>
      <c r="E63" s="39"/>
      <c r="F63" s="2"/>
      <c r="G63" s="2"/>
      <c r="H63" s="2"/>
      <c r="I63" s="2"/>
      <c r="J63" s="2"/>
      <c r="K63" s="2"/>
      <c r="L63" s="2"/>
      <c r="M63" s="2"/>
      <c r="N63" s="2"/>
      <c r="O63" s="35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ht="15.75" customHeight="1">
      <c r="A64" s="36"/>
      <c r="C64" s="35"/>
      <c r="D64" s="2"/>
      <c r="E64" s="39"/>
      <c r="F64" s="2"/>
      <c r="G64" s="2"/>
      <c r="H64" s="2"/>
      <c r="I64" s="2"/>
      <c r="J64" s="2"/>
      <c r="K64" s="2"/>
      <c r="L64" s="2"/>
      <c r="M64" s="2"/>
      <c r="N64" s="2"/>
      <c r="O64" s="35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ht="15.75" customHeight="1">
      <c r="A65" s="36"/>
      <c r="C65" s="35"/>
      <c r="D65" s="2"/>
      <c r="E65" s="39"/>
      <c r="F65" s="2"/>
      <c r="G65" s="2"/>
      <c r="H65" s="2"/>
      <c r="I65" s="2"/>
      <c r="J65" s="2"/>
      <c r="K65" s="2"/>
      <c r="L65" s="2"/>
      <c r="M65" s="2"/>
      <c r="N65" s="2"/>
      <c r="O65" s="35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ht="15.75" customHeight="1">
      <c r="A66" s="36"/>
      <c r="C66" s="35"/>
      <c r="D66" s="2"/>
      <c r="E66" s="39"/>
      <c r="F66" s="2"/>
      <c r="G66" s="2"/>
      <c r="H66" s="2"/>
      <c r="I66" s="2"/>
      <c r="J66" s="2"/>
      <c r="K66" s="2"/>
      <c r="L66" s="2"/>
      <c r="M66" s="2"/>
      <c r="N66" s="2"/>
      <c r="O66" s="35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ht="15.75" customHeight="1">
      <c r="A67" s="36"/>
      <c r="C67" s="35"/>
      <c r="D67" s="2"/>
      <c r="E67" s="39"/>
      <c r="F67" s="2"/>
      <c r="G67" s="2"/>
      <c r="H67" s="2"/>
      <c r="I67" s="2"/>
      <c r="J67" s="2"/>
      <c r="K67" s="2"/>
      <c r="L67" s="2"/>
      <c r="M67" s="2"/>
      <c r="N67" s="2"/>
      <c r="O67" s="35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ht="15.75" customHeight="1">
      <c r="A68" s="36"/>
      <c r="C68" s="35"/>
      <c r="D68" s="2"/>
      <c r="E68" s="39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ht="15.75" customHeight="1">
      <c r="A69" s="36"/>
      <c r="C69" s="35"/>
      <c r="D69" s="2"/>
      <c r="E69" s="39"/>
      <c r="F69" s="2"/>
      <c r="G69" s="2"/>
      <c r="H69" s="2"/>
      <c r="I69" s="2"/>
      <c r="J69" s="2"/>
      <c r="K69" s="2"/>
      <c r="L69" s="2"/>
      <c r="M69" s="2"/>
      <c r="N69" s="2"/>
      <c r="O69" s="35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ht="15.75" customHeight="1">
      <c r="A70" s="36"/>
      <c r="C70" s="35"/>
      <c r="D70" s="2"/>
      <c r="E70" s="39"/>
      <c r="F70" s="2"/>
      <c r="G70" s="2"/>
      <c r="H70" s="2"/>
      <c r="I70" s="2"/>
      <c r="J70" s="2"/>
      <c r="K70" s="2"/>
      <c r="L70" s="2"/>
      <c r="M70" s="2"/>
      <c r="N70" s="2"/>
      <c r="O70" s="35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ht="15.75" customHeight="1">
      <c r="A71" s="36"/>
      <c r="C71" s="35"/>
      <c r="D71" s="2"/>
      <c r="E71" s="39"/>
      <c r="F71" s="2"/>
      <c r="G71" s="2"/>
      <c r="H71" s="2"/>
      <c r="I71" s="2"/>
      <c r="J71" s="2"/>
      <c r="K71" s="2"/>
      <c r="L71" s="2"/>
      <c r="M71" s="2"/>
      <c r="N71" s="2"/>
      <c r="O71" s="35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ht="15.75" customHeight="1">
      <c r="A72" s="36"/>
      <c r="C72" s="35"/>
      <c r="D72" s="2"/>
      <c r="E72" s="39"/>
      <c r="F72" s="2"/>
      <c r="G72" s="2"/>
      <c r="H72" s="2"/>
      <c r="I72" s="2"/>
      <c r="J72" s="2"/>
      <c r="K72" s="2"/>
      <c r="L72" s="2"/>
      <c r="M72" s="2"/>
      <c r="N72" s="2"/>
      <c r="O72" s="35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ht="15.75" customHeight="1">
      <c r="A73" s="36"/>
      <c r="C73" s="35"/>
      <c r="D73" s="2"/>
      <c r="E73" s="39"/>
      <c r="F73" s="2"/>
      <c r="G73" s="2"/>
      <c r="H73" s="2"/>
      <c r="I73" s="2"/>
      <c r="J73" s="2"/>
      <c r="K73" s="2"/>
      <c r="L73" s="2"/>
      <c r="M73" s="2"/>
      <c r="N73" s="2"/>
      <c r="O73" s="35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ht="15.75" customHeight="1">
      <c r="A74" s="36"/>
      <c r="C74" s="35"/>
      <c r="D74" s="2"/>
      <c r="E74" s="39"/>
      <c r="F74" s="2"/>
      <c r="G74" s="2"/>
      <c r="H74" s="2"/>
      <c r="I74" s="2"/>
      <c r="J74" s="2"/>
      <c r="K74" s="2"/>
      <c r="L74" s="2"/>
      <c r="M74" s="2"/>
      <c r="N74" s="2"/>
      <c r="O74" s="35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ht="15.75" customHeight="1">
      <c r="A75" s="36"/>
      <c r="C75" s="35"/>
      <c r="D75" s="2"/>
      <c r="E75" s="39"/>
      <c r="F75" s="2"/>
      <c r="G75" s="2"/>
      <c r="H75" s="2"/>
      <c r="I75" s="2"/>
      <c r="J75" s="2"/>
      <c r="K75" s="2"/>
      <c r="L75" s="2"/>
      <c r="M75" s="2"/>
      <c r="N75" s="2"/>
      <c r="O75" s="35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ht="15.75" customHeight="1">
      <c r="A76" s="36"/>
      <c r="C76" s="35"/>
      <c r="D76" s="2"/>
      <c r="E76" s="39"/>
      <c r="F76" s="2"/>
      <c r="G76" s="2"/>
      <c r="H76" s="2"/>
      <c r="I76" s="2"/>
      <c r="J76" s="2"/>
      <c r="K76" s="2"/>
      <c r="L76" s="2"/>
      <c r="M76" s="2"/>
      <c r="N76" s="2"/>
      <c r="O76" s="35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ht="15.75" customHeight="1">
      <c r="A77" s="36"/>
      <c r="C77" s="35"/>
      <c r="D77" s="2"/>
      <c r="E77" s="39"/>
      <c r="F77" s="2"/>
      <c r="G77" s="2"/>
      <c r="H77" s="2"/>
      <c r="I77" s="2"/>
      <c r="J77" s="2"/>
      <c r="K77" s="2"/>
      <c r="L77" s="2"/>
      <c r="M77" s="2"/>
      <c r="N77" s="2"/>
      <c r="O77" s="35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ht="15.75" customHeight="1">
      <c r="A78" s="36"/>
      <c r="C78" s="35"/>
      <c r="D78" s="2"/>
      <c r="E78" s="39"/>
      <c r="F78" s="2"/>
      <c r="G78" s="2"/>
      <c r="H78" s="2"/>
      <c r="I78" s="2"/>
      <c r="J78" s="2"/>
      <c r="K78" s="2"/>
      <c r="L78" s="2"/>
      <c r="M78" s="2"/>
      <c r="N78" s="2"/>
      <c r="O78" s="35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ht="15.75" customHeight="1">
      <c r="A79" s="36"/>
      <c r="C79" s="35"/>
      <c r="D79" s="2"/>
      <c r="E79" s="39"/>
      <c r="F79" s="2"/>
      <c r="G79" s="2"/>
      <c r="H79" s="2"/>
      <c r="I79" s="2"/>
      <c r="J79" s="2"/>
      <c r="K79" s="2"/>
      <c r="L79" s="2"/>
      <c r="M79" s="2"/>
      <c r="N79" s="2"/>
      <c r="O79" s="35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ht="15.75" customHeight="1">
      <c r="A80" s="36"/>
      <c r="C80" s="35"/>
      <c r="D80" s="2"/>
      <c r="E80" s="39"/>
      <c r="F80" s="2"/>
      <c r="G80" s="2"/>
      <c r="H80" s="2"/>
      <c r="I80" s="2"/>
      <c r="J80" s="2"/>
      <c r="K80" s="2"/>
      <c r="L80" s="2"/>
      <c r="M80" s="2"/>
      <c r="N80" s="2"/>
      <c r="O80" s="35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ht="15.75" customHeight="1">
      <c r="A81" s="36"/>
      <c r="C81" s="35"/>
      <c r="D81" s="2"/>
      <c r="E81" s="39"/>
      <c r="F81" s="2"/>
      <c r="G81" s="2"/>
      <c r="H81" s="2"/>
      <c r="I81" s="2"/>
      <c r="J81" s="2"/>
      <c r="K81" s="2"/>
      <c r="L81" s="2"/>
      <c r="M81" s="2"/>
      <c r="N81" s="2"/>
      <c r="O81" s="35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ht="15.75" customHeight="1">
      <c r="A82" s="36"/>
      <c r="C82" s="35"/>
      <c r="D82" s="2"/>
      <c r="E82" s="39"/>
      <c r="F82" s="2"/>
      <c r="G82" s="2"/>
      <c r="H82" s="2"/>
      <c r="I82" s="2"/>
      <c r="J82" s="2"/>
      <c r="K82" s="2"/>
      <c r="L82" s="2"/>
      <c r="M82" s="2"/>
      <c r="N82" s="2"/>
      <c r="O82" s="35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ht="15.75" customHeight="1">
      <c r="A83" s="36"/>
      <c r="C83" s="35"/>
      <c r="D83" s="2"/>
      <c r="E83" s="39"/>
      <c r="F83" s="2"/>
      <c r="G83" s="2"/>
      <c r="H83" s="2"/>
      <c r="I83" s="2"/>
      <c r="J83" s="2"/>
      <c r="K83" s="2"/>
      <c r="L83" s="2"/>
      <c r="M83" s="2"/>
      <c r="N83" s="2"/>
      <c r="O83" s="35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ht="15.75" customHeight="1">
      <c r="A84" s="36"/>
      <c r="C84" s="35"/>
      <c r="D84" s="2"/>
      <c r="E84" s="39"/>
      <c r="F84" s="2"/>
      <c r="G84" s="2"/>
      <c r="H84" s="2"/>
      <c r="I84" s="2"/>
      <c r="J84" s="2"/>
      <c r="K84" s="2"/>
      <c r="L84" s="2"/>
      <c r="M84" s="2"/>
      <c r="N84" s="2"/>
      <c r="O84" s="35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ht="15.75" customHeight="1">
      <c r="A85" s="36"/>
      <c r="C85" s="35"/>
      <c r="D85" s="2"/>
      <c r="E85" s="39"/>
      <c r="F85" s="2"/>
      <c r="G85" s="2"/>
      <c r="H85" s="2"/>
      <c r="I85" s="2"/>
      <c r="J85" s="2"/>
      <c r="K85" s="2"/>
      <c r="L85" s="2"/>
      <c r="M85" s="2"/>
      <c r="N85" s="2"/>
      <c r="O85" s="35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ht="15.75" customHeight="1">
      <c r="A86" s="36"/>
      <c r="C86" s="35"/>
      <c r="D86" s="2"/>
      <c r="E86" s="39"/>
      <c r="F86" s="2"/>
      <c r="G86" s="2"/>
      <c r="H86" s="2"/>
      <c r="I86" s="2"/>
      <c r="J86" s="2"/>
      <c r="K86" s="2"/>
      <c r="L86" s="2"/>
      <c r="M86" s="2"/>
      <c r="N86" s="2"/>
      <c r="O86" s="35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ht="15.75" customHeight="1">
      <c r="A87" s="36"/>
      <c r="C87" s="35"/>
      <c r="D87" s="2"/>
      <c r="E87" s="39"/>
      <c r="F87" s="2"/>
      <c r="G87" s="2"/>
      <c r="H87" s="2"/>
      <c r="I87" s="2"/>
      <c r="J87" s="2"/>
      <c r="K87" s="2"/>
      <c r="L87" s="2"/>
      <c r="M87" s="2"/>
      <c r="N87" s="2"/>
      <c r="O87" s="35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ht="15.75" customHeight="1">
      <c r="A88" s="36"/>
      <c r="C88" s="35"/>
      <c r="D88" s="2"/>
      <c r="E88" s="39"/>
      <c r="F88" s="2"/>
      <c r="G88" s="2"/>
      <c r="H88" s="2"/>
      <c r="I88" s="2"/>
      <c r="J88" s="2"/>
      <c r="K88" s="2"/>
      <c r="L88" s="2"/>
      <c r="M88" s="2"/>
      <c r="N88" s="2"/>
      <c r="O88" s="35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ht="15.75" customHeight="1">
      <c r="A89" s="36"/>
      <c r="C89" s="35"/>
      <c r="D89" s="2"/>
      <c r="E89" s="39"/>
      <c r="F89" s="2"/>
      <c r="G89" s="2"/>
      <c r="H89" s="2"/>
      <c r="I89" s="2"/>
      <c r="J89" s="2"/>
      <c r="K89" s="2"/>
      <c r="L89" s="2"/>
      <c r="M89" s="2"/>
      <c r="N89" s="2"/>
      <c r="O89" s="35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ht="15.75" customHeight="1">
      <c r="A90" s="36"/>
      <c r="C90" s="35"/>
      <c r="D90" s="2"/>
      <c r="E90" s="39"/>
      <c r="F90" s="2"/>
      <c r="G90" s="2"/>
      <c r="H90" s="2"/>
      <c r="I90" s="2"/>
      <c r="J90" s="2"/>
      <c r="K90" s="2"/>
      <c r="L90" s="2"/>
      <c r="M90" s="2"/>
      <c r="N90" s="2"/>
      <c r="O90" s="35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ht="15.75" customHeight="1">
      <c r="A91" s="36"/>
      <c r="C91" s="35"/>
      <c r="D91" s="2"/>
      <c r="E91" s="39"/>
      <c r="F91" s="2"/>
      <c r="G91" s="2"/>
      <c r="H91" s="2"/>
      <c r="I91" s="2"/>
      <c r="J91" s="2"/>
      <c r="K91" s="2"/>
      <c r="L91" s="2"/>
      <c r="M91" s="2"/>
      <c r="N91" s="2"/>
      <c r="O91" s="35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ht="15.75" customHeight="1">
      <c r="A92" s="36"/>
      <c r="C92" s="35"/>
      <c r="D92" s="2"/>
      <c r="E92" s="39"/>
      <c r="F92" s="2"/>
      <c r="G92" s="2"/>
      <c r="H92" s="2"/>
      <c r="I92" s="2"/>
      <c r="J92" s="2"/>
      <c r="K92" s="2"/>
      <c r="L92" s="2"/>
      <c r="M92" s="2"/>
      <c r="N92" s="2"/>
      <c r="O92" s="35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ht="15.75" customHeight="1">
      <c r="A93" s="36"/>
      <c r="C93" s="35"/>
      <c r="D93" s="2"/>
      <c r="E93" s="39"/>
      <c r="F93" s="2"/>
      <c r="G93" s="2"/>
      <c r="H93" s="2"/>
      <c r="I93" s="2"/>
      <c r="J93" s="2"/>
      <c r="K93" s="2"/>
      <c r="L93" s="2"/>
      <c r="M93" s="2"/>
      <c r="N93" s="2"/>
      <c r="O93" s="35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ht="15.75" customHeight="1">
      <c r="A94" s="36"/>
      <c r="C94" s="35"/>
      <c r="D94" s="2"/>
      <c r="E94" s="39"/>
      <c r="F94" s="2"/>
      <c r="G94" s="2"/>
      <c r="H94" s="2"/>
      <c r="I94" s="2"/>
      <c r="J94" s="2"/>
      <c r="K94" s="2"/>
      <c r="L94" s="2"/>
      <c r="M94" s="2"/>
      <c r="N94" s="2"/>
      <c r="O94" s="35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ht="15.75" customHeight="1">
      <c r="A95" s="36"/>
      <c r="C95" s="35"/>
      <c r="D95" s="2"/>
      <c r="E95" s="39"/>
      <c r="F95" s="2"/>
      <c r="G95" s="2"/>
      <c r="H95" s="2"/>
      <c r="I95" s="2"/>
      <c r="J95" s="2"/>
      <c r="K95" s="2"/>
      <c r="L95" s="2"/>
      <c r="M95" s="2"/>
      <c r="N95" s="2"/>
      <c r="O95" s="35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ht="15.75" customHeight="1">
      <c r="A96" s="36"/>
      <c r="C96" s="35"/>
      <c r="D96" s="2"/>
      <c r="E96" s="39"/>
      <c r="F96" s="2"/>
      <c r="G96" s="2"/>
      <c r="H96" s="2"/>
      <c r="I96" s="2"/>
      <c r="J96" s="2"/>
      <c r="K96" s="2"/>
      <c r="L96" s="2"/>
      <c r="M96" s="2"/>
      <c r="N96" s="2"/>
      <c r="O96" s="35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ht="15.75" customHeight="1">
      <c r="A97" s="36"/>
      <c r="C97" s="35"/>
      <c r="D97" s="2"/>
      <c r="E97" s="39"/>
      <c r="F97" s="2"/>
      <c r="G97" s="2"/>
      <c r="H97" s="2"/>
      <c r="I97" s="2"/>
      <c r="J97" s="2"/>
      <c r="K97" s="2"/>
      <c r="L97" s="2"/>
      <c r="M97" s="2"/>
      <c r="N97" s="2"/>
      <c r="O97" s="35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ht="15.75" customHeight="1">
      <c r="A98" s="36"/>
      <c r="C98" s="35"/>
      <c r="D98" s="2"/>
      <c r="E98" s="39"/>
      <c r="F98" s="2"/>
      <c r="G98" s="2"/>
      <c r="H98" s="2"/>
      <c r="I98" s="2"/>
      <c r="J98" s="2"/>
      <c r="K98" s="2"/>
      <c r="L98" s="2"/>
      <c r="M98" s="2"/>
      <c r="N98" s="2"/>
      <c r="O98" s="35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ht="15.75" customHeight="1">
      <c r="A99" s="36"/>
      <c r="C99" s="35"/>
      <c r="D99" s="2"/>
      <c r="E99" s="39"/>
      <c r="F99" s="2"/>
      <c r="G99" s="2"/>
      <c r="H99" s="2"/>
      <c r="I99" s="2"/>
      <c r="J99" s="2"/>
      <c r="K99" s="2"/>
      <c r="L99" s="2"/>
      <c r="M99" s="2"/>
      <c r="N99" s="2"/>
      <c r="O99" s="35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ht="15.75" customHeight="1">
      <c r="A100" s="36"/>
      <c r="C100" s="35"/>
      <c r="D100" s="2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35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ht="15.75" customHeight="1">
      <c r="A101" s="36"/>
      <c r="C101" s="35"/>
      <c r="D101" s="2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35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ht="15.75" customHeight="1">
      <c r="A102" s="36"/>
      <c r="C102" s="35"/>
      <c r="D102" s="2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35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ht="15.75" customHeight="1">
      <c r="A103" s="36"/>
      <c r="C103" s="35"/>
      <c r="D103" s="2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35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35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35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35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35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35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35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35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35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35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35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35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35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35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35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35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35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35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35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35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35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35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35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35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35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35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35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35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35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2"/>
      <c r="J132" s="2"/>
      <c r="K132" s="2"/>
      <c r="L132" s="2"/>
      <c r="M132" s="2"/>
      <c r="N132" s="2"/>
      <c r="O132" s="35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2"/>
      <c r="J133" s="2"/>
      <c r="K133" s="2"/>
      <c r="L133" s="2"/>
      <c r="M133" s="2"/>
      <c r="N133" s="2"/>
      <c r="O133" s="35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2"/>
      <c r="J134" s="2"/>
      <c r="K134" s="2"/>
      <c r="L134" s="2"/>
      <c r="M134" s="2"/>
      <c r="N134" s="2"/>
      <c r="O134" s="35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2"/>
      <c r="J135" s="2"/>
      <c r="K135" s="2"/>
      <c r="L135" s="2"/>
      <c r="M135" s="2"/>
      <c r="N135" s="2"/>
      <c r="O135" s="35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2"/>
      <c r="J136" s="2"/>
      <c r="K136" s="2"/>
      <c r="L136" s="2"/>
      <c r="M136" s="2"/>
      <c r="N136" s="2"/>
      <c r="O136" s="35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2"/>
      <c r="J137" s="2"/>
      <c r="K137" s="2"/>
      <c r="L137" s="2"/>
      <c r="M137" s="2"/>
      <c r="N137" s="2"/>
      <c r="O137" s="35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2"/>
      <c r="J138" s="2"/>
      <c r="K138" s="2"/>
      <c r="L138" s="2"/>
      <c r="M138" s="2"/>
      <c r="N138" s="2"/>
      <c r="O138" s="35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2"/>
      <c r="J139" s="2"/>
      <c r="K139" s="2"/>
      <c r="L139" s="2"/>
      <c r="M139" s="2"/>
      <c r="N139" s="2"/>
      <c r="O139" s="35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2"/>
      <c r="J140" s="2"/>
      <c r="K140" s="2"/>
      <c r="L140" s="2"/>
      <c r="M140" s="2"/>
      <c r="N140" s="2"/>
      <c r="O140" s="35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2"/>
      <c r="J141" s="2"/>
      <c r="K141" s="2"/>
      <c r="L141" s="2"/>
      <c r="M141" s="2"/>
      <c r="N141" s="2"/>
      <c r="O141" s="35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2"/>
      <c r="J142" s="2"/>
      <c r="K142" s="2"/>
      <c r="L142" s="2"/>
      <c r="M142" s="2"/>
      <c r="N142" s="2"/>
      <c r="O142" s="35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2"/>
      <c r="J143" s="2"/>
      <c r="K143" s="2"/>
      <c r="L143" s="2"/>
      <c r="M143" s="2"/>
      <c r="N143" s="2"/>
      <c r="O143" s="35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2"/>
      <c r="J144" s="2"/>
      <c r="K144" s="2"/>
      <c r="L144" s="2"/>
      <c r="M144" s="2"/>
      <c r="N144" s="2"/>
      <c r="O144" s="35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2"/>
      <c r="J145" s="2"/>
      <c r="K145" s="2"/>
      <c r="L145" s="2"/>
      <c r="M145" s="2"/>
      <c r="N145" s="2"/>
      <c r="O145" s="35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2"/>
      <c r="J146" s="2"/>
      <c r="K146" s="2"/>
      <c r="L146" s="2"/>
      <c r="M146" s="2"/>
      <c r="N146" s="2"/>
      <c r="O146" s="35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2"/>
      <c r="J147" s="2"/>
      <c r="K147" s="2"/>
      <c r="L147" s="2"/>
      <c r="M147" s="2"/>
      <c r="N147" s="2"/>
      <c r="O147" s="35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2"/>
      <c r="J148" s="2"/>
      <c r="K148" s="2"/>
      <c r="L148" s="2"/>
      <c r="M148" s="2"/>
      <c r="N148" s="2"/>
      <c r="O148" s="35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2"/>
      <c r="J149" s="2"/>
      <c r="K149" s="2"/>
      <c r="L149" s="2"/>
      <c r="M149" s="2"/>
      <c r="N149" s="2"/>
      <c r="O149" s="35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2"/>
      <c r="J150" s="2"/>
      <c r="K150" s="2"/>
      <c r="L150" s="2"/>
      <c r="M150" s="2"/>
      <c r="N150" s="2"/>
      <c r="O150" s="35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2"/>
      <c r="J151" s="2"/>
      <c r="K151" s="2"/>
      <c r="L151" s="2"/>
      <c r="M151" s="2"/>
      <c r="N151" s="2"/>
      <c r="O151" s="35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2"/>
      <c r="J152" s="2"/>
      <c r="K152" s="2"/>
      <c r="L152" s="2"/>
      <c r="M152" s="2"/>
      <c r="N152" s="2"/>
      <c r="O152" s="35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2"/>
      <c r="J153" s="2"/>
      <c r="K153" s="2"/>
      <c r="L153" s="2"/>
      <c r="M153" s="2"/>
      <c r="N153" s="2"/>
      <c r="O153" s="35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2"/>
      <c r="J154" s="2"/>
      <c r="K154" s="2"/>
      <c r="L154" s="2"/>
      <c r="M154" s="2"/>
      <c r="N154" s="2"/>
      <c r="O154" s="35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2"/>
      <c r="J155" s="2"/>
      <c r="K155" s="2"/>
      <c r="L155" s="2"/>
      <c r="M155" s="2"/>
      <c r="N155" s="2"/>
      <c r="O155" s="35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2"/>
      <c r="J156" s="2"/>
      <c r="K156" s="2"/>
      <c r="L156" s="2"/>
      <c r="M156" s="2"/>
      <c r="N156" s="2"/>
      <c r="O156" s="35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2"/>
      <c r="J157" s="2"/>
      <c r="K157" s="2"/>
      <c r="L157" s="2"/>
      <c r="M157" s="2"/>
      <c r="N157" s="2"/>
      <c r="O157" s="35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2"/>
      <c r="J158" s="2"/>
      <c r="K158" s="2"/>
      <c r="L158" s="2"/>
      <c r="M158" s="2"/>
      <c r="N158" s="2"/>
      <c r="O158" s="35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2"/>
      <c r="J159" s="2"/>
      <c r="K159" s="2"/>
      <c r="L159" s="2"/>
      <c r="M159" s="2"/>
      <c r="N159" s="2"/>
      <c r="O159" s="35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2"/>
      <c r="J160" s="2"/>
      <c r="K160" s="2"/>
      <c r="L160" s="2"/>
      <c r="M160" s="2"/>
      <c r="N160" s="2"/>
      <c r="O160" s="35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2"/>
      <c r="J161" s="2"/>
      <c r="K161" s="2"/>
      <c r="L161" s="2"/>
      <c r="M161" s="2"/>
      <c r="N161" s="2"/>
      <c r="O161" s="35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2"/>
      <c r="J162" s="2"/>
      <c r="K162" s="2"/>
      <c r="L162" s="2"/>
      <c r="M162" s="2"/>
      <c r="N162" s="2"/>
      <c r="O162" s="35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2"/>
      <c r="J163" s="2"/>
      <c r="K163" s="2"/>
      <c r="L163" s="2"/>
      <c r="M163" s="2"/>
      <c r="N163" s="2"/>
      <c r="O163" s="35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2"/>
      <c r="J164" s="2"/>
      <c r="K164" s="2"/>
      <c r="L164" s="2"/>
      <c r="M164" s="2"/>
      <c r="N164" s="2"/>
      <c r="O164" s="35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2"/>
      <c r="J165" s="2"/>
      <c r="K165" s="2"/>
      <c r="L165" s="2"/>
      <c r="M165" s="2"/>
      <c r="N165" s="2"/>
      <c r="O165" s="35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2"/>
      <c r="J166" s="2"/>
      <c r="K166" s="2"/>
      <c r="L166" s="2"/>
      <c r="M166" s="2"/>
      <c r="N166" s="2"/>
      <c r="O166" s="35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2"/>
      <c r="J167" s="2"/>
      <c r="K167" s="2"/>
      <c r="L167" s="2"/>
      <c r="M167" s="2"/>
      <c r="N167" s="2"/>
      <c r="O167" s="35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2"/>
      <c r="J168" s="2"/>
      <c r="K168" s="2"/>
      <c r="L168" s="2"/>
      <c r="M168" s="2"/>
      <c r="N168" s="2"/>
      <c r="O168" s="35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2"/>
      <c r="J169" s="2"/>
      <c r="K169" s="2"/>
      <c r="L169" s="2"/>
      <c r="M169" s="2"/>
      <c r="N169" s="2"/>
      <c r="O169" s="35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2"/>
      <c r="J170" s="2"/>
      <c r="K170" s="2"/>
      <c r="L170" s="2"/>
      <c r="M170" s="2"/>
      <c r="N170" s="2"/>
      <c r="O170" s="35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2"/>
      <c r="J171" s="2"/>
      <c r="K171" s="2"/>
      <c r="L171" s="2"/>
      <c r="M171" s="2"/>
      <c r="N171" s="2"/>
      <c r="O171" s="35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2"/>
      <c r="J172" s="2"/>
      <c r="K172" s="2"/>
      <c r="L172" s="2"/>
      <c r="M172" s="2"/>
      <c r="N172" s="2"/>
      <c r="O172" s="35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35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35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2"/>
      <c r="J175" s="2"/>
      <c r="K175" s="2"/>
      <c r="L175" s="2"/>
      <c r="M175" s="2"/>
      <c r="N175" s="2"/>
      <c r="O175" s="35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2"/>
      <c r="J176" s="2"/>
      <c r="K176" s="2"/>
      <c r="L176" s="2"/>
      <c r="M176" s="2"/>
      <c r="N176" s="2"/>
      <c r="O176" s="35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2"/>
      <c r="J177" s="2"/>
      <c r="K177" s="2"/>
      <c r="L177" s="2"/>
      <c r="M177" s="2"/>
      <c r="N177" s="2"/>
      <c r="O177" s="35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2"/>
      <c r="J178" s="2"/>
      <c r="K178" s="2"/>
      <c r="L178" s="2"/>
      <c r="M178" s="2"/>
      <c r="N178" s="2"/>
      <c r="O178" s="35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35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35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35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35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35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35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35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35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35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2"/>
      <c r="J188" s="2"/>
      <c r="K188" s="2"/>
      <c r="L188" s="2"/>
      <c r="M188" s="2"/>
      <c r="N188" s="2"/>
      <c r="O188" s="35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2"/>
      <c r="J189" s="2"/>
      <c r="K189" s="2"/>
      <c r="L189" s="2"/>
      <c r="M189" s="2"/>
      <c r="N189" s="2"/>
      <c r="O189" s="35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35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35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35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2"/>
      <c r="J194" s="2"/>
      <c r="K194" s="2"/>
      <c r="L194" s="2"/>
      <c r="M194" s="2"/>
      <c r="N194" s="2"/>
      <c r="O194" s="35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2"/>
      <c r="J195" s="2"/>
      <c r="K195" s="2"/>
      <c r="L195" s="2"/>
      <c r="M195" s="2"/>
      <c r="N195" s="2"/>
      <c r="O195" s="35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2"/>
      <c r="J196" s="2"/>
      <c r="K196" s="2"/>
      <c r="L196" s="2"/>
      <c r="M196" s="2"/>
      <c r="N196" s="2"/>
      <c r="O196" s="35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35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35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35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2"/>
      <c r="J200" s="2"/>
      <c r="K200" s="2"/>
      <c r="L200" s="2"/>
      <c r="M200" s="2"/>
      <c r="N200" s="2"/>
      <c r="O200" s="35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2"/>
      <c r="J201" s="2"/>
      <c r="K201" s="2"/>
      <c r="L201" s="2"/>
      <c r="M201" s="2"/>
      <c r="N201" s="2"/>
      <c r="O201" s="35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2"/>
      <c r="J202" s="2"/>
      <c r="K202" s="2"/>
      <c r="L202" s="2"/>
      <c r="M202" s="2"/>
      <c r="N202" s="2"/>
      <c r="O202" s="35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2"/>
      <c r="J203" s="2"/>
      <c r="K203" s="2"/>
      <c r="L203" s="2"/>
      <c r="M203" s="2"/>
      <c r="N203" s="2"/>
      <c r="O203" s="35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2"/>
      <c r="J204" s="2"/>
      <c r="K204" s="2"/>
      <c r="L204" s="2"/>
      <c r="M204" s="2"/>
      <c r="N204" s="2"/>
      <c r="O204" s="35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2"/>
      <c r="J205" s="2"/>
      <c r="K205" s="2"/>
      <c r="L205" s="2"/>
      <c r="M205" s="2"/>
      <c r="N205" s="2"/>
      <c r="O205" s="35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2"/>
      <c r="J206" s="2"/>
      <c r="K206" s="2"/>
      <c r="L206" s="2"/>
      <c r="M206" s="2"/>
      <c r="N206" s="2"/>
      <c r="O206" s="35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35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35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35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2"/>
      <c r="J210" s="2"/>
      <c r="K210" s="2"/>
      <c r="L210" s="2"/>
      <c r="M210" s="2"/>
      <c r="N210" s="2"/>
      <c r="O210" s="35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2"/>
      <c r="J211" s="2"/>
      <c r="K211" s="2"/>
      <c r="L211" s="2"/>
      <c r="M211" s="2"/>
      <c r="N211" s="2"/>
      <c r="O211" s="35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2"/>
      <c r="J212" s="2"/>
      <c r="K212" s="2"/>
      <c r="L212" s="2"/>
      <c r="M212" s="2"/>
      <c r="N212" s="2"/>
      <c r="O212" s="35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2"/>
      <c r="J213" s="2"/>
      <c r="K213" s="2"/>
      <c r="L213" s="2"/>
      <c r="M213" s="2"/>
      <c r="N213" s="2"/>
      <c r="O213" s="35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2"/>
      <c r="J214" s="2"/>
      <c r="K214" s="2"/>
      <c r="L214" s="2"/>
      <c r="M214" s="2"/>
      <c r="N214" s="2"/>
      <c r="O214" s="35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2"/>
      <c r="J215" s="2"/>
      <c r="K215" s="2"/>
      <c r="L215" s="2"/>
      <c r="M215" s="2"/>
      <c r="N215" s="2"/>
      <c r="O215" s="35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2"/>
      <c r="J216" s="2"/>
      <c r="K216" s="2"/>
      <c r="L216" s="2"/>
      <c r="M216" s="2"/>
      <c r="N216" s="2"/>
      <c r="O216" s="35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2"/>
      <c r="J217" s="2"/>
      <c r="K217" s="2"/>
      <c r="L217" s="2"/>
      <c r="M217" s="2"/>
      <c r="N217" s="2"/>
      <c r="O217" s="35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2"/>
      <c r="J218" s="2"/>
      <c r="K218" s="2"/>
      <c r="L218" s="2"/>
      <c r="M218" s="2"/>
      <c r="N218" s="2"/>
      <c r="O218" s="35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2"/>
      <c r="J219" s="2"/>
      <c r="K219" s="2"/>
      <c r="L219" s="2"/>
      <c r="M219" s="2"/>
      <c r="N219" s="2"/>
      <c r="O219" s="35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2"/>
      <c r="J220" s="2"/>
      <c r="K220" s="2"/>
      <c r="L220" s="2"/>
      <c r="M220" s="2"/>
      <c r="N220" s="2"/>
      <c r="O220" s="35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2"/>
      <c r="J221" s="2"/>
      <c r="K221" s="2"/>
      <c r="L221" s="2"/>
      <c r="M221" s="2"/>
      <c r="N221" s="2"/>
      <c r="O221" s="35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2"/>
      <c r="J222" s="2"/>
      <c r="K222" s="2"/>
      <c r="L222" s="2"/>
      <c r="M222" s="2"/>
      <c r="N222" s="2"/>
      <c r="O222" s="35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2"/>
      <c r="J223" s="2"/>
      <c r="K223" s="2"/>
      <c r="L223" s="2"/>
      <c r="M223" s="2"/>
      <c r="N223" s="2"/>
      <c r="O223" s="35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2"/>
      <c r="J224" s="2"/>
      <c r="K224" s="2"/>
      <c r="L224" s="2"/>
      <c r="M224" s="2"/>
      <c r="N224" s="2"/>
      <c r="O224" s="35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2"/>
      <c r="J225" s="2"/>
      <c r="K225" s="2"/>
      <c r="L225" s="2"/>
      <c r="M225" s="2"/>
      <c r="N225" s="2"/>
      <c r="O225" s="35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2"/>
      <c r="J226" s="2"/>
      <c r="K226" s="2"/>
      <c r="L226" s="2"/>
      <c r="M226" s="2"/>
      <c r="N226" s="2"/>
      <c r="O226" s="35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2"/>
      <c r="J227" s="2"/>
      <c r="K227" s="2"/>
      <c r="L227" s="2"/>
      <c r="M227" s="2"/>
      <c r="N227" s="2"/>
      <c r="O227" s="35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2"/>
      <c r="J228" s="2"/>
      <c r="K228" s="2"/>
      <c r="L228" s="2"/>
      <c r="M228" s="2"/>
      <c r="N228" s="2"/>
      <c r="O228" s="35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2"/>
      <c r="J229" s="2"/>
      <c r="K229" s="2"/>
      <c r="L229" s="2"/>
      <c r="M229" s="2"/>
      <c r="N229" s="2"/>
      <c r="O229" s="35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2"/>
      <c r="J230" s="2"/>
      <c r="K230" s="2"/>
      <c r="L230" s="2"/>
      <c r="M230" s="2"/>
      <c r="N230" s="2"/>
      <c r="O230" s="35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2"/>
      <c r="J231" s="2"/>
      <c r="K231" s="2"/>
      <c r="L231" s="2"/>
      <c r="M231" s="2"/>
      <c r="N231" s="2"/>
      <c r="O231" s="35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2"/>
      <c r="J232" s="2"/>
      <c r="K232" s="2"/>
      <c r="L232" s="2"/>
      <c r="M232" s="2"/>
      <c r="N232" s="2"/>
      <c r="O232" s="35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2"/>
      <c r="J233" s="2"/>
      <c r="K233" s="2"/>
      <c r="L233" s="2"/>
      <c r="M233" s="2"/>
      <c r="N233" s="2"/>
      <c r="O233" s="35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2"/>
      <c r="J234" s="2"/>
      <c r="K234" s="2"/>
      <c r="L234" s="2"/>
      <c r="M234" s="2"/>
      <c r="N234" s="2"/>
      <c r="O234" s="35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2"/>
      <c r="J235" s="2"/>
      <c r="K235" s="2"/>
      <c r="L235" s="2"/>
      <c r="M235" s="2"/>
      <c r="N235" s="2"/>
      <c r="O235" s="35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2"/>
      <c r="J236" s="2"/>
      <c r="K236" s="2"/>
      <c r="L236" s="2"/>
      <c r="M236" s="2"/>
      <c r="N236" s="2"/>
      <c r="O236" s="35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2"/>
      <c r="J237" s="2"/>
      <c r="K237" s="2"/>
      <c r="L237" s="2"/>
      <c r="M237" s="2"/>
      <c r="N237" s="2"/>
      <c r="O237" s="35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2"/>
      <c r="J238" s="2"/>
      <c r="K238" s="2"/>
      <c r="L238" s="2"/>
      <c r="M238" s="2"/>
      <c r="N238" s="2"/>
      <c r="O238" s="35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2"/>
      <c r="J239" s="2"/>
      <c r="K239" s="2"/>
      <c r="L239" s="2"/>
      <c r="M239" s="2"/>
      <c r="N239" s="2"/>
      <c r="O239" s="35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2"/>
      <c r="J240" s="2"/>
      <c r="K240" s="2"/>
      <c r="L240" s="2"/>
      <c r="M240" s="2"/>
      <c r="N240" s="2"/>
      <c r="O240" s="35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2"/>
      <c r="J241" s="2"/>
      <c r="K241" s="2"/>
      <c r="L241" s="2"/>
      <c r="M241" s="2"/>
      <c r="N241" s="2"/>
      <c r="O241" s="35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35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35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35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35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35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35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2"/>
      <c r="J248" s="2"/>
      <c r="K248" s="2"/>
      <c r="L248" s="2"/>
      <c r="M248" s="2"/>
      <c r="N248" s="2"/>
      <c r="O248" s="35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2"/>
      <c r="J249" s="2"/>
      <c r="K249" s="2"/>
      <c r="L249" s="2"/>
      <c r="M249" s="2"/>
      <c r="N249" s="2"/>
      <c r="O249" s="35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2"/>
      <c r="J250" s="2"/>
      <c r="K250" s="2"/>
      <c r="L250" s="2"/>
      <c r="M250" s="2"/>
      <c r="N250" s="2"/>
      <c r="O250" s="35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2"/>
      <c r="J251" s="2"/>
      <c r="K251" s="2"/>
      <c r="L251" s="2"/>
      <c r="M251" s="2"/>
      <c r="N251" s="2"/>
      <c r="O251" s="35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35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35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35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0"/>
    </row>
    <row r="256" ht="14.25" customHeight="1">
      <c r="A256" s="40"/>
      <c r="B256" s="3"/>
      <c r="C256" s="3"/>
      <c r="D256" s="3"/>
      <c r="E256" s="4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40"/>
    </row>
    <row r="257" ht="14.25" customHeight="1">
      <c r="A257" s="40"/>
      <c r="B257" s="3"/>
      <c r="C257" s="3"/>
      <c r="D257" s="3"/>
      <c r="E257" s="4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40"/>
    </row>
    <row r="258" ht="14.25" customHeight="1">
      <c r="A258" s="40"/>
      <c r="B258" s="3"/>
      <c r="C258" s="3"/>
      <c r="D258" s="3"/>
      <c r="E258" s="4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40"/>
    </row>
    <row r="259" ht="14.25" customHeight="1">
      <c r="A259" s="40"/>
      <c r="B259" s="3"/>
      <c r="C259" s="3"/>
      <c r="D259" s="3"/>
      <c r="E259" s="4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40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C3:E3"/>
    <mergeCell ref="F3:H3"/>
    <mergeCell ref="I3:K3"/>
    <mergeCell ref="L3:N3"/>
    <mergeCell ref="O3:Q3"/>
    <mergeCell ref="R3:T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hidden="1" min="6" max="6" width="22.43"/>
    <col customWidth="1" hidden="1" min="7" max="7" width="19.43"/>
    <col customWidth="1" hidden="1" min="8" max="8" width="19.29"/>
    <col customWidth="1" hidden="1" min="9" max="9" width="32.86"/>
    <col customWidth="1" hidden="1" min="10" max="10" width="19.43"/>
    <col customWidth="1" hidden="1" min="11" max="11" width="19.29"/>
    <col customWidth="1" min="12" max="12" width="32.86"/>
    <col customWidth="1" min="13" max="14" width="19.29"/>
    <col customWidth="1" hidden="1" min="15" max="15" width="31.71"/>
    <col customWidth="1" hidden="1" min="16" max="16" width="28.14"/>
    <col customWidth="1" hidden="1" min="17" max="17" width="27.86"/>
    <col customWidth="1" min="18" max="18" width="32.86"/>
    <col customWidth="1" min="19" max="20" width="19.29"/>
    <col customWidth="1" min="21" max="28" width="13.57"/>
  </cols>
  <sheetData>
    <row r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>
      <c r="A2" s="5" t="s">
        <v>283</v>
      </c>
      <c r="D2" s="5" t="s">
        <v>1</v>
      </c>
      <c r="E2" s="1">
        <v>10000.0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>
      <c r="A3" s="7"/>
      <c r="B3" s="7"/>
      <c r="C3" s="8" t="s">
        <v>2</v>
      </c>
      <c r="D3" s="9"/>
      <c r="E3" s="10"/>
      <c r="F3" s="11" t="s">
        <v>3</v>
      </c>
      <c r="G3" s="9"/>
      <c r="H3" s="10"/>
      <c r="I3" s="12" t="s">
        <v>4</v>
      </c>
      <c r="J3" s="9"/>
      <c r="K3" s="10"/>
      <c r="L3" s="13" t="s">
        <v>3</v>
      </c>
      <c r="M3" s="9"/>
      <c r="N3" s="10"/>
      <c r="O3" s="14" t="s">
        <v>5</v>
      </c>
      <c r="P3" s="9"/>
      <c r="Q3" s="10"/>
      <c r="R3" s="15" t="s">
        <v>6</v>
      </c>
      <c r="S3" s="9"/>
      <c r="T3" s="10"/>
      <c r="U3" s="3"/>
      <c r="V3" s="3"/>
      <c r="W3" s="3"/>
      <c r="X3" s="3"/>
      <c r="Y3" s="3"/>
      <c r="Z3" s="3"/>
      <c r="AA3" s="3"/>
      <c r="AB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8" t="s">
        <v>13</v>
      </c>
      <c r="H4" s="18" t="s">
        <v>14</v>
      </c>
      <c r="I4" s="19" t="s">
        <v>12</v>
      </c>
      <c r="J4" s="19" t="s">
        <v>13</v>
      </c>
      <c r="K4" s="19" t="s">
        <v>15</v>
      </c>
      <c r="L4" s="20" t="s">
        <v>12</v>
      </c>
      <c r="M4" s="20" t="s">
        <v>13</v>
      </c>
      <c r="N4" s="20" t="s">
        <v>16</v>
      </c>
      <c r="O4" s="21" t="s">
        <v>17</v>
      </c>
      <c r="P4" s="21" t="s">
        <v>18</v>
      </c>
      <c r="Q4" s="22" t="s">
        <v>19</v>
      </c>
      <c r="R4" s="23" t="s">
        <v>20</v>
      </c>
      <c r="S4" s="23" t="s">
        <v>21</v>
      </c>
      <c r="T4" s="23" t="s">
        <v>22</v>
      </c>
      <c r="U4" s="3"/>
      <c r="V4" s="3"/>
      <c r="W4" s="3"/>
      <c r="X4" s="3"/>
      <c r="Y4" s="3"/>
      <c r="Z4" s="3"/>
      <c r="AA4" s="3"/>
      <c r="AB4" s="6"/>
    </row>
    <row r="5" ht="30.0" customHeight="1">
      <c r="A5" s="1">
        <v>1.0</v>
      </c>
      <c r="B5" s="24" t="s">
        <v>284</v>
      </c>
      <c r="C5" s="25" t="s">
        <v>285</v>
      </c>
      <c r="D5" s="26">
        <v>0.0</v>
      </c>
      <c r="E5" s="26">
        <v>0.0</v>
      </c>
      <c r="F5" s="27"/>
      <c r="G5" s="28"/>
      <c r="H5" s="28"/>
      <c r="I5" s="29"/>
      <c r="J5" s="28"/>
      <c r="K5" s="28"/>
      <c r="L5" s="29" t="s">
        <v>286</v>
      </c>
      <c r="M5" s="28">
        <v>0.0</v>
      </c>
      <c r="N5" s="28">
        <v>0.0115818977355957</v>
      </c>
      <c r="O5" s="30"/>
      <c r="P5" s="31"/>
      <c r="Q5" s="31"/>
      <c r="R5" s="29" t="s">
        <v>287</v>
      </c>
      <c r="S5" s="28">
        <v>0.0</v>
      </c>
      <c r="T5" s="28">
        <v>0.00399541854858398</v>
      </c>
      <c r="U5" s="3"/>
      <c r="V5" s="3">
        <f t="shared" ref="V5:V53" si="1">E5/T5</f>
        <v>0</v>
      </c>
      <c r="W5" s="3"/>
      <c r="X5" s="3"/>
      <c r="Y5" s="3"/>
      <c r="Z5" s="3"/>
      <c r="AA5" s="3"/>
      <c r="AB5" s="6"/>
    </row>
    <row r="6" ht="30.0" customHeight="1">
      <c r="A6" s="1">
        <v>2.0</v>
      </c>
      <c r="B6" s="24" t="s">
        <v>288</v>
      </c>
      <c r="C6" s="25" t="s">
        <v>289</v>
      </c>
      <c r="D6" s="26">
        <v>0.0</v>
      </c>
      <c r="E6" s="26">
        <v>0.0</v>
      </c>
      <c r="F6" s="27"/>
      <c r="G6" s="28"/>
      <c r="H6" s="28"/>
      <c r="I6" s="29"/>
      <c r="J6" s="28"/>
      <c r="K6" s="28"/>
      <c r="L6" s="29" t="s">
        <v>290</v>
      </c>
      <c r="M6" s="28">
        <v>0.0</v>
      </c>
      <c r="N6" s="28">
        <v>0.0100953578948974</v>
      </c>
      <c r="O6" s="32"/>
      <c r="P6" s="31"/>
      <c r="Q6" s="31"/>
      <c r="R6" s="29" t="s">
        <v>291</v>
      </c>
      <c r="S6" s="28">
        <v>0.0</v>
      </c>
      <c r="T6" s="28">
        <v>0.00299811363220214</v>
      </c>
      <c r="U6" s="3"/>
      <c r="V6" s="3">
        <f t="shared" si="1"/>
        <v>0</v>
      </c>
      <c r="W6" s="3"/>
      <c r="X6" s="3"/>
      <c r="Y6" s="3"/>
      <c r="Z6" s="3"/>
      <c r="AA6" s="3"/>
      <c r="AB6" s="6"/>
    </row>
    <row r="7" ht="30.0" customHeight="1">
      <c r="A7" s="1">
        <v>3.0</v>
      </c>
      <c r="B7" s="24" t="s">
        <v>292</v>
      </c>
      <c r="C7" s="25" t="s">
        <v>293</v>
      </c>
      <c r="D7" s="26">
        <v>0.0</v>
      </c>
      <c r="E7" s="26">
        <v>0.00589728355407714</v>
      </c>
      <c r="F7" s="27"/>
      <c r="G7" s="28"/>
      <c r="H7" s="28"/>
      <c r="I7" s="29"/>
      <c r="J7" s="28"/>
      <c r="K7" s="28"/>
      <c r="L7" s="29" t="s">
        <v>294</v>
      </c>
      <c r="M7" s="28">
        <v>0.0</v>
      </c>
      <c r="N7" s="28">
        <v>0.00401234626770019</v>
      </c>
      <c r="O7" s="32"/>
      <c r="P7" s="31"/>
      <c r="Q7" s="31"/>
      <c r="R7" s="29" t="s">
        <v>295</v>
      </c>
      <c r="S7" s="28">
        <v>0.0</v>
      </c>
      <c r="T7" s="28">
        <v>0.00398755073547363</v>
      </c>
      <c r="U7" s="3"/>
      <c r="V7" s="3">
        <f t="shared" si="1"/>
        <v>1.478923767</v>
      </c>
      <c r="W7" s="3"/>
      <c r="X7" s="3"/>
      <c r="Y7" s="3"/>
      <c r="Z7" s="3"/>
      <c r="AA7" s="3"/>
      <c r="AB7" s="6"/>
    </row>
    <row r="8" ht="30.0" customHeight="1">
      <c r="A8" s="1">
        <v>4.0</v>
      </c>
      <c r="B8" s="24" t="s">
        <v>296</v>
      </c>
      <c r="C8" s="25" t="s">
        <v>297</v>
      </c>
      <c r="D8" s="26">
        <v>0.0</v>
      </c>
      <c r="E8" s="26">
        <v>0.0</v>
      </c>
      <c r="F8" s="27"/>
      <c r="G8" s="28"/>
      <c r="H8" s="28"/>
      <c r="I8" s="29"/>
      <c r="J8" s="28"/>
      <c r="K8" s="28"/>
      <c r="L8" s="29" t="s">
        <v>298</v>
      </c>
      <c r="M8" s="28">
        <v>0.0</v>
      </c>
      <c r="N8" s="28">
        <v>0.0</v>
      </c>
      <c r="O8" s="32"/>
      <c r="P8" s="31"/>
      <c r="Q8" s="31"/>
      <c r="R8" s="29" t="s">
        <v>299</v>
      </c>
      <c r="S8" s="28">
        <v>0.0</v>
      </c>
      <c r="T8" s="28">
        <v>0.00200223922729492</v>
      </c>
      <c r="U8" s="3"/>
      <c r="V8" s="3">
        <f t="shared" si="1"/>
        <v>0</v>
      </c>
      <c r="W8" s="3"/>
      <c r="X8" s="3"/>
      <c r="Y8" s="3"/>
      <c r="Z8" s="3"/>
      <c r="AA8" s="3"/>
      <c r="AB8" s="6"/>
    </row>
    <row r="9" ht="30.0" customHeight="1">
      <c r="A9" s="1">
        <v>5.0</v>
      </c>
      <c r="B9" s="24" t="s">
        <v>300</v>
      </c>
      <c r="C9" s="25" t="s">
        <v>301</v>
      </c>
      <c r="D9" s="26">
        <v>0.0</v>
      </c>
      <c r="E9" s="26">
        <v>0.0</v>
      </c>
      <c r="F9" s="27"/>
      <c r="G9" s="28"/>
      <c r="H9" s="28"/>
      <c r="I9" s="29"/>
      <c r="J9" s="28"/>
      <c r="K9" s="28"/>
      <c r="L9" s="29" t="s">
        <v>302</v>
      </c>
      <c r="M9" s="28">
        <v>0.0</v>
      </c>
      <c r="N9" s="28">
        <v>0.0070350170135498</v>
      </c>
      <c r="O9" s="33"/>
      <c r="P9" s="26"/>
      <c r="Q9" s="26"/>
      <c r="R9" s="29" t="s">
        <v>303</v>
      </c>
      <c r="S9" s="28">
        <v>0.0</v>
      </c>
      <c r="T9" s="28">
        <v>0.00198221206665039</v>
      </c>
      <c r="U9" s="3"/>
      <c r="V9" s="3">
        <f t="shared" si="1"/>
        <v>0</v>
      </c>
      <c r="W9" s="3"/>
      <c r="X9" s="3"/>
      <c r="Y9" s="3"/>
      <c r="Z9" s="3"/>
      <c r="AA9" s="3"/>
      <c r="AB9" s="6"/>
    </row>
    <row r="10" ht="30.0" customHeight="1">
      <c r="A10" s="1">
        <v>6.0</v>
      </c>
      <c r="B10" s="24" t="s">
        <v>304</v>
      </c>
      <c r="C10" s="25" t="s">
        <v>305</v>
      </c>
      <c r="D10" s="26">
        <v>0.0</v>
      </c>
      <c r="E10" s="26">
        <v>0.00251436233520507</v>
      </c>
      <c r="F10" s="27"/>
      <c r="G10" s="28"/>
      <c r="H10" s="28"/>
      <c r="I10" s="29"/>
      <c r="J10" s="28"/>
      <c r="K10" s="28"/>
      <c r="L10" s="29" t="s">
        <v>306</v>
      </c>
      <c r="M10" s="28">
        <v>0.0</v>
      </c>
      <c r="N10" s="28">
        <v>0.0105767250061035</v>
      </c>
      <c r="O10" s="32"/>
      <c r="P10" s="31"/>
      <c r="Q10" s="31"/>
      <c r="R10" s="29" t="s">
        <v>307</v>
      </c>
      <c r="S10" s="28">
        <v>0.0</v>
      </c>
      <c r="T10" s="28">
        <v>0.00202250480651855</v>
      </c>
      <c r="U10" s="3"/>
      <c r="V10" s="3">
        <f t="shared" si="1"/>
        <v>1.243192267</v>
      </c>
      <c r="W10" s="3"/>
      <c r="X10" s="3"/>
      <c r="Y10" s="3"/>
      <c r="Z10" s="3"/>
      <c r="AA10" s="3"/>
      <c r="AB10" s="6"/>
    </row>
    <row r="11" ht="30.0" customHeight="1">
      <c r="A11" s="1">
        <v>7.0</v>
      </c>
      <c r="B11" s="24" t="s">
        <v>308</v>
      </c>
      <c r="C11" s="25" t="s">
        <v>309</v>
      </c>
      <c r="D11" s="26">
        <v>0.0</v>
      </c>
      <c r="E11" s="26">
        <v>0.00992560386657714</v>
      </c>
      <c r="F11" s="27"/>
      <c r="G11" s="28"/>
      <c r="H11" s="28"/>
      <c r="I11" s="29"/>
      <c r="J11" s="28"/>
      <c r="K11" s="28"/>
      <c r="L11" s="29" t="s">
        <v>310</v>
      </c>
      <c r="M11" s="28">
        <v>0.0</v>
      </c>
      <c r="N11" s="28">
        <v>0.0101451873779296</v>
      </c>
      <c r="O11" s="32"/>
      <c r="P11" s="31"/>
      <c r="Q11" s="31"/>
      <c r="R11" s="29" t="s">
        <v>311</v>
      </c>
      <c r="S11" s="28">
        <v>0.0</v>
      </c>
      <c r="T11" s="28">
        <v>0.00299000740051269</v>
      </c>
      <c r="U11" s="3"/>
      <c r="V11" s="3">
        <f t="shared" si="1"/>
        <v>3.319591739</v>
      </c>
      <c r="W11" s="3"/>
      <c r="X11" s="3"/>
      <c r="Y11" s="3"/>
      <c r="Z11" s="3"/>
      <c r="AA11" s="3"/>
      <c r="AB11" s="6"/>
    </row>
    <row r="12" ht="30.0" customHeight="1">
      <c r="A12" s="1">
        <v>8.0</v>
      </c>
      <c r="B12" s="24" t="s">
        <v>312</v>
      </c>
      <c r="C12" s="25" t="s">
        <v>313</v>
      </c>
      <c r="D12" s="26">
        <v>0.0</v>
      </c>
      <c r="E12" s="26">
        <v>0.0</v>
      </c>
      <c r="F12" s="27"/>
      <c r="G12" s="28"/>
      <c r="H12" s="28"/>
      <c r="I12" s="29"/>
      <c r="J12" s="28"/>
      <c r="K12" s="28"/>
      <c r="L12" s="29" t="s">
        <v>314</v>
      </c>
      <c r="M12" s="28">
        <v>0.0</v>
      </c>
      <c r="N12" s="28">
        <v>0.0107955932617187</v>
      </c>
      <c r="O12" s="32"/>
      <c r="P12" s="31"/>
      <c r="Q12" s="31"/>
      <c r="R12" s="29" t="s">
        <v>315</v>
      </c>
      <c r="S12" s="28">
        <v>0.0</v>
      </c>
      <c r="T12" s="28">
        <v>0.00353407859802246</v>
      </c>
      <c r="U12" s="3"/>
      <c r="V12" s="3">
        <f t="shared" si="1"/>
        <v>0</v>
      </c>
      <c r="W12" s="3"/>
      <c r="X12" s="3"/>
      <c r="Y12" s="3"/>
      <c r="Z12" s="3"/>
      <c r="AA12" s="3"/>
      <c r="AB12" s="6"/>
    </row>
    <row r="13" ht="30.0" customHeight="1">
      <c r="A13" s="1">
        <v>9.0</v>
      </c>
      <c r="B13" s="24" t="s">
        <v>117</v>
      </c>
      <c r="C13" s="25" t="s">
        <v>316</v>
      </c>
      <c r="D13" s="26">
        <v>0.0</v>
      </c>
      <c r="E13" s="26">
        <v>0.00303602218627929</v>
      </c>
      <c r="F13" s="27"/>
      <c r="G13" s="28"/>
      <c r="H13" s="28"/>
      <c r="I13" s="29"/>
      <c r="J13" s="28"/>
      <c r="K13" s="28"/>
      <c r="L13" s="29" t="s">
        <v>317</v>
      </c>
      <c r="M13" s="28">
        <v>0.0</v>
      </c>
      <c r="N13" s="28">
        <v>0.0103962421417236</v>
      </c>
      <c r="O13" s="32"/>
      <c r="P13" s="31"/>
      <c r="Q13" s="31"/>
      <c r="R13" s="29" t="s">
        <v>318</v>
      </c>
      <c r="S13" s="28">
        <v>0.0</v>
      </c>
      <c r="T13" s="28">
        <v>0.00200128555297851</v>
      </c>
      <c r="U13" s="3"/>
      <c r="V13" s="3">
        <f t="shared" si="1"/>
        <v>1.517035978</v>
      </c>
      <c r="W13" s="3"/>
      <c r="X13" s="3"/>
      <c r="Y13" s="3"/>
      <c r="Z13" s="3"/>
      <c r="AA13" s="3"/>
      <c r="AB13" s="6"/>
    </row>
    <row r="14" ht="30.0" customHeight="1">
      <c r="A14" s="1">
        <v>10.0</v>
      </c>
      <c r="B14" s="24" t="s">
        <v>319</v>
      </c>
      <c r="C14" s="25" t="s">
        <v>320</v>
      </c>
      <c r="D14" s="26">
        <v>0.0</v>
      </c>
      <c r="E14" s="26">
        <v>0.0</v>
      </c>
      <c r="F14" s="27"/>
      <c r="G14" s="28"/>
      <c r="H14" s="28"/>
      <c r="I14" s="29"/>
      <c r="J14" s="28"/>
      <c r="K14" s="28"/>
      <c r="L14" s="29" t="s">
        <v>321</v>
      </c>
      <c r="M14" s="28">
        <v>0.0</v>
      </c>
      <c r="N14" s="28">
        <v>0.00801444053649902</v>
      </c>
      <c r="O14" s="32"/>
      <c r="P14" s="31"/>
      <c r="Q14" s="31"/>
      <c r="R14" s="29" t="s">
        <v>322</v>
      </c>
      <c r="S14" s="28">
        <v>0.0</v>
      </c>
      <c r="T14" s="28">
        <v>0.00288343429565429</v>
      </c>
      <c r="U14" s="3"/>
      <c r="V14" s="3">
        <f t="shared" si="1"/>
        <v>0</v>
      </c>
      <c r="W14" s="3"/>
      <c r="X14" s="3"/>
      <c r="Y14" s="3"/>
      <c r="Z14" s="3"/>
      <c r="AA14" s="3"/>
      <c r="AB14" s="6"/>
    </row>
    <row r="15" ht="30.0" customHeight="1">
      <c r="A15" s="1">
        <v>11.0</v>
      </c>
      <c r="B15" s="24" t="s">
        <v>125</v>
      </c>
      <c r="C15" s="25" t="s">
        <v>126</v>
      </c>
      <c r="D15" s="26">
        <v>0.0</v>
      </c>
      <c r="E15" s="26">
        <v>0.0</v>
      </c>
      <c r="F15" s="27"/>
      <c r="G15" s="28"/>
      <c r="H15" s="28"/>
      <c r="I15" s="29"/>
      <c r="J15" s="28"/>
      <c r="K15" s="28"/>
      <c r="L15" s="29" t="s">
        <v>323</v>
      </c>
      <c r="M15" s="28">
        <v>0.0</v>
      </c>
      <c r="N15" s="28">
        <v>0.0119493007659912</v>
      </c>
      <c r="O15" s="32"/>
      <c r="P15" s="31"/>
      <c r="Q15" s="31"/>
      <c r="R15" s="29" t="s">
        <v>128</v>
      </c>
      <c r="S15" s="28">
        <v>0.0</v>
      </c>
      <c r="T15" s="28">
        <v>0.00200295448303222</v>
      </c>
      <c r="U15" s="3"/>
      <c r="V15" s="3">
        <f t="shared" si="1"/>
        <v>0</v>
      </c>
      <c r="W15" s="3"/>
      <c r="X15" s="3"/>
      <c r="Y15" s="3"/>
      <c r="Z15" s="3"/>
      <c r="AA15" s="3"/>
      <c r="AB15" s="6"/>
    </row>
    <row r="16" ht="30.0" customHeight="1">
      <c r="A16" s="1">
        <v>12.0</v>
      </c>
      <c r="B16" s="24" t="s">
        <v>324</v>
      </c>
      <c r="C16" s="25" t="s">
        <v>325</v>
      </c>
      <c r="D16" s="26">
        <v>0.0</v>
      </c>
      <c r="E16" s="26">
        <v>0.00981950759887695</v>
      </c>
      <c r="F16" s="27"/>
      <c r="G16" s="28"/>
      <c r="H16" s="28"/>
      <c r="I16" s="29"/>
      <c r="J16" s="28"/>
      <c r="K16" s="28"/>
      <c r="L16" s="29" t="s">
        <v>326</v>
      </c>
      <c r="M16" s="28">
        <v>0.0</v>
      </c>
      <c r="N16" s="28">
        <v>0.0</v>
      </c>
      <c r="O16" s="32"/>
      <c r="P16" s="31"/>
      <c r="Q16" s="31"/>
      <c r="R16" s="29" t="s">
        <v>327</v>
      </c>
      <c r="S16" s="28">
        <v>0.0</v>
      </c>
      <c r="T16" s="28">
        <v>0.00200080871582031</v>
      </c>
      <c r="U16" s="3"/>
      <c r="V16" s="3">
        <f t="shared" si="1"/>
        <v>4.907769304</v>
      </c>
      <c r="W16" s="3"/>
      <c r="X16" s="3"/>
      <c r="Y16" s="3"/>
      <c r="Z16" s="3"/>
      <c r="AA16" s="3"/>
      <c r="AB16" s="6"/>
    </row>
    <row r="17" ht="30.0" customHeight="1">
      <c r="A17" s="1">
        <v>13.0</v>
      </c>
      <c r="B17" s="24" t="s">
        <v>137</v>
      </c>
      <c r="C17" s="25" t="s">
        <v>138</v>
      </c>
      <c r="D17" s="26">
        <v>0.0</v>
      </c>
      <c r="E17" s="26">
        <v>0.00351619720458984</v>
      </c>
      <c r="F17" s="27"/>
      <c r="G17" s="28"/>
      <c r="H17" s="28"/>
      <c r="I17" s="29"/>
      <c r="J17" s="28"/>
      <c r="K17" s="28"/>
      <c r="L17" s="29" t="s">
        <v>328</v>
      </c>
      <c r="M17" s="28">
        <v>0.0</v>
      </c>
      <c r="N17" s="28">
        <v>0.00982356071472168</v>
      </c>
      <c r="O17" s="32"/>
      <c r="P17" s="31"/>
      <c r="Q17" s="31"/>
      <c r="R17" s="29" t="s">
        <v>140</v>
      </c>
      <c r="S17" s="28">
        <v>0.0</v>
      </c>
      <c r="T17" s="28">
        <v>0.00199341773986816</v>
      </c>
      <c r="U17" s="3"/>
      <c r="V17" s="3">
        <f t="shared" si="1"/>
        <v>1.763903839</v>
      </c>
      <c r="W17" s="3"/>
      <c r="X17" s="3"/>
      <c r="Y17" s="3"/>
      <c r="Z17" s="3"/>
      <c r="AA17" s="3"/>
      <c r="AB17" s="6"/>
    </row>
    <row r="18" ht="30.0" customHeight="1">
      <c r="A18" s="1">
        <v>14.0</v>
      </c>
      <c r="B18" s="24" t="s">
        <v>329</v>
      </c>
      <c r="C18" s="25" t="s">
        <v>330</v>
      </c>
      <c r="D18" s="26">
        <v>0.0</v>
      </c>
      <c r="E18" s="26">
        <v>0.0101828575134277</v>
      </c>
      <c r="F18" s="27"/>
      <c r="G18" s="28"/>
      <c r="H18" s="28"/>
      <c r="I18" s="29"/>
      <c r="J18" s="28"/>
      <c r="K18" s="28"/>
      <c r="L18" s="29" t="s">
        <v>331</v>
      </c>
      <c r="M18" s="28">
        <v>0.0</v>
      </c>
      <c r="N18" s="28">
        <v>0.00963759422302246</v>
      </c>
      <c r="O18" s="32"/>
      <c r="P18" s="31"/>
      <c r="Q18" s="31"/>
      <c r="R18" s="29" t="s">
        <v>332</v>
      </c>
      <c r="S18" s="28">
        <v>0.0</v>
      </c>
      <c r="T18" s="28">
        <v>0.00300908088684082</v>
      </c>
      <c r="U18" s="3"/>
      <c r="V18" s="3">
        <f t="shared" si="1"/>
        <v>3.384042469</v>
      </c>
      <c r="W18" s="3"/>
      <c r="X18" s="3"/>
      <c r="Y18" s="3"/>
      <c r="Z18" s="3"/>
      <c r="AA18" s="3"/>
      <c r="AB18" s="6"/>
    </row>
    <row r="19" ht="30.0" customHeight="1">
      <c r="A19" s="1">
        <v>15.0</v>
      </c>
      <c r="B19" s="24" t="s">
        <v>333</v>
      </c>
      <c r="C19" s="25" t="s">
        <v>334</v>
      </c>
      <c r="D19" s="26">
        <v>0.0</v>
      </c>
      <c r="E19" s="26">
        <v>0.0103580951690673</v>
      </c>
      <c r="F19" s="27"/>
      <c r="G19" s="28"/>
      <c r="H19" s="28"/>
      <c r="I19" s="29"/>
      <c r="J19" s="28"/>
      <c r="K19" s="28"/>
      <c r="L19" s="29" t="s">
        <v>335</v>
      </c>
      <c r="M19" s="28">
        <v>0.0</v>
      </c>
      <c r="N19" s="28">
        <v>0.0096437931060791</v>
      </c>
      <c r="O19" s="32"/>
      <c r="P19" s="31"/>
      <c r="Q19" s="31"/>
      <c r="R19" s="29" t="s">
        <v>336</v>
      </c>
      <c r="S19" s="28">
        <v>0.0</v>
      </c>
      <c r="T19" s="28">
        <v>0.00299692153930664</v>
      </c>
      <c r="U19" s="3"/>
      <c r="V19" s="3">
        <f t="shared" si="1"/>
        <v>3.456245028</v>
      </c>
      <c r="W19" s="3"/>
      <c r="X19" s="3"/>
      <c r="Y19" s="3"/>
      <c r="Z19" s="3"/>
      <c r="AA19" s="3"/>
      <c r="AB19" s="6"/>
    </row>
    <row r="20" ht="30.0" customHeight="1">
      <c r="A20" s="1">
        <v>16.0</v>
      </c>
      <c r="B20" s="24" t="s">
        <v>337</v>
      </c>
      <c r="C20" s="25" t="s">
        <v>338</v>
      </c>
      <c r="D20" s="26">
        <v>0.0</v>
      </c>
      <c r="E20" s="26">
        <v>0.0</v>
      </c>
      <c r="F20" s="27"/>
      <c r="G20" s="28"/>
      <c r="H20" s="28"/>
      <c r="I20" s="29"/>
      <c r="J20" s="28"/>
      <c r="K20" s="28"/>
      <c r="L20" s="29" t="s">
        <v>339</v>
      </c>
      <c r="M20" s="28">
        <v>0.0</v>
      </c>
      <c r="N20" s="28">
        <v>0.0</v>
      </c>
      <c r="O20" s="32"/>
      <c r="P20" s="31"/>
      <c r="Q20" s="31"/>
      <c r="R20" s="29" t="s">
        <v>340</v>
      </c>
      <c r="S20" s="28">
        <v>0.0</v>
      </c>
      <c r="T20" s="28">
        <v>0.00300168991088867</v>
      </c>
      <c r="U20" s="3"/>
      <c r="V20" s="3">
        <f t="shared" si="1"/>
        <v>0</v>
      </c>
      <c r="W20" s="3"/>
      <c r="X20" s="3"/>
      <c r="Y20" s="3"/>
      <c r="Z20" s="3"/>
      <c r="AA20" s="3"/>
      <c r="AB20" s="6"/>
    </row>
    <row r="21" ht="30.0" customHeight="1">
      <c r="A21" s="1">
        <v>17.0</v>
      </c>
      <c r="B21" s="24" t="s">
        <v>341</v>
      </c>
      <c r="C21" s="25" t="s">
        <v>342</v>
      </c>
      <c r="D21" s="26">
        <v>0.0</v>
      </c>
      <c r="E21" s="26">
        <v>0.0</v>
      </c>
      <c r="F21" s="27"/>
      <c r="G21" s="28"/>
      <c r="H21" s="28"/>
      <c r="I21" s="29"/>
      <c r="J21" s="28"/>
      <c r="K21" s="28"/>
      <c r="L21" s="29" t="s">
        <v>343</v>
      </c>
      <c r="M21" s="28">
        <v>0.0</v>
      </c>
      <c r="N21" s="28">
        <v>0.0116803646087646</v>
      </c>
      <c r="O21" s="32"/>
      <c r="P21" s="31"/>
      <c r="Q21" s="31"/>
      <c r="R21" s="29" t="s">
        <v>344</v>
      </c>
      <c r="S21" s="28">
        <v>0.0</v>
      </c>
      <c r="T21" s="28">
        <v>0.00300002098083496</v>
      </c>
      <c r="U21" s="3"/>
      <c r="V21" s="3">
        <f t="shared" si="1"/>
        <v>0</v>
      </c>
      <c r="W21" s="3"/>
      <c r="X21" s="3"/>
      <c r="Y21" s="3"/>
      <c r="Z21" s="3"/>
      <c r="AA21" s="3"/>
      <c r="AB21" s="6"/>
    </row>
    <row r="22" ht="30.0" customHeight="1">
      <c r="A22" s="1">
        <v>18.0</v>
      </c>
      <c r="B22" s="24" t="s">
        <v>345</v>
      </c>
      <c r="C22" s="25" t="s">
        <v>346</v>
      </c>
      <c r="D22" s="26">
        <v>0.0</v>
      </c>
      <c r="E22" s="26">
        <v>0.0010380744934082</v>
      </c>
      <c r="F22" s="27"/>
      <c r="G22" s="28"/>
      <c r="H22" s="28"/>
      <c r="I22" s="29"/>
      <c r="J22" s="28"/>
      <c r="K22" s="28"/>
      <c r="L22" s="29" t="s">
        <v>347</v>
      </c>
      <c r="M22" s="28">
        <v>0.0</v>
      </c>
      <c r="N22" s="28">
        <v>0.0</v>
      </c>
      <c r="O22" s="32"/>
      <c r="P22" s="31"/>
      <c r="Q22" s="31"/>
      <c r="R22" s="29" t="s">
        <v>348</v>
      </c>
      <c r="S22" s="28">
        <v>0.0</v>
      </c>
      <c r="T22" s="28">
        <v>0.00199675559997558</v>
      </c>
      <c r="U22" s="3"/>
      <c r="V22" s="3">
        <f t="shared" si="1"/>
        <v>0.519880597</v>
      </c>
      <c r="W22" s="3"/>
      <c r="X22" s="3"/>
      <c r="Y22" s="3"/>
      <c r="Z22" s="3"/>
      <c r="AA22" s="3"/>
      <c r="AB22" s="6"/>
    </row>
    <row r="23" ht="30.0" customHeight="1">
      <c r="A23" s="1">
        <v>19.0</v>
      </c>
      <c r="B23" s="24" t="s">
        <v>349</v>
      </c>
      <c r="C23" s="25" t="s">
        <v>350</v>
      </c>
      <c r="D23" s="26">
        <v>0.0</v>
      </c>
      <c r="E23" s="26">
        <v>0.0</v>
      </c>
      <c r="F23" s="27"/>
      <c r="G23" s="28"/>
      <c r="H23" s="28"/>
      <c r="I23" s="29"/>
      <c r="J23" s="28"/>
      <c r="K23" s="28"/>
      <c r="L23" s="29" t="s">
        <v>351</v>
      </c>
      <c r="M23" s="28">
        <v>0.0</v>
      </c>
      <c r="N23" s="28">
        <v>0.0</v>
      </c>
      <c r="O23" s="32"/>
      <c r="P23" s="31"/>
      <c r="Q23" s="31"/>
      <c r="R23" s="29" t="s">
        <v>352</v>
      </c>
      <c r="S23" s="28">
        <v>0.0</v>
      </c>
      <c r="T23" s="28">
        <v>0.0019848346710205</v>
      </c>
      <c r="U23" s="3"/>
      <c r="V23" s="3">
        <f t="shared" si="1"/>
        <v>0</v>
      </c>
      <c r="W23" s="3"/>
      <c r="X23" s="3"/>
      <c r="Y23" s="3"/>
      <c r="Z23" s="3"/>
      <c r="AA23" s="3"/>
      <c r="AB23" s="6"/>
    </row>
    <row r="24" ht="30.0" customHeight="1">
      <c r="A24" s="1">
        <v>20.0</v>
      </c>
      <c r="B24" s="24" t="s">
        <v>353</v>
      </c>
      <c r="C24" s="25" t="s">
        <v>354</v>
      </c>
      <c r="D24" s="26">
        <v>0.0</v>
      </c>
      <c r="E24" s="26">
        <v>0.00941228866577148</v>
      </c>
      <c r="F24" s="27"/>
      <c r="G24" s="28"/>
      <c r="H24" s="28"/>
      <c r="I24" s="29"/>
      <c r="J24" s="28"/>
      <c r="K24" s="28"/>
      <c r="L24" s="29" t="s">
        <v>355</v>
      </c>
      <c r="M24" s="28">
        <v>0.0</v>
      </c>
      <c r="N24" s="28">
        <v>0.0</v>
      </c>
      <c r="O24" s="32"/>
      <c r="P24" s="31"/>
      <c r="Q24" s="31"/>
      <c r="R24" s="29" t="s">
        <v>356</v>
      </c>
      <c r="S24" s="28">
        <v>0.0</v>
      </c>
      <c r="T24" s="28">
        <v>0.00201272964477539</v>
      </c>
      <c r="U24" s="3"/>
      <c r="V24" s="3">
        <f t="shared" si="1"/>
        <v>4.676380005</v>
      </c>
      <c r="W24" s="3"/>
      <c r="X24" s="3"/>
      <c r="Y24" s="3"/>
      <c r="Z24" s="3"/>
      <c r="AA24" s="3"/>
      <c r="AB24" s="6"/>
    </row>
    <row r="25" ht="30.0" customHeight="1">
      <c r="A25" s="1">
        <v>21.0</v>
      </c>
      <c r="B25" s="24" t="s">
        <v>357</v>
      </c>
      <c r="C25" s="25" t="s">
        <v>358</v>
      </c>
      <c r="D25" s="26">
        <v>0.0</v>
      </c>
      <c r="E25" s="26">
        <v>0.00937366485595703</v>
      </c>
      <c r="F25" s="27"/>
      <c r="G25" s="28"/>
      <c r="H25" s="28"/>
      <c r="I25" s="29"/>
      <c r="J25" s="28"/>
      <c r="K25" s="28"/>
      <c r="L25" s="29" t="s">
        <v>359</v>
      </c>
      <c r="M25" s="28">
        <v>0.0</v>
      </c>
      <c r="N25" s="28">
        <v>0.0</v>
      </c>
      <c r="O25" s="32"/>
      <c r="P25" s="31"/>
      <c r="Q25" s="31"/>
      <c r="R25" s="29" t="s">
        <v>360</v>
      </c>
      <c r="S25" s="28">
        <v>0.0</v>
      </c>
      <c r="T25" s="28">
        <v>0.00299835205078125</v>
      </c>
      <c r="U25" s="3"/>
      <c r="V25" s="3">
        <f t="shared" si="1"/>
        <v>3.126272265</v>
      </c>
      <c r="W25" s="3"/>
      <c r="X25" s="3"/>
      <c r="Y25" s="3"/>
      <c r="Z25" s="3"/>
      <c r="AA25" s="3"/>
      <c r="AB25" s="6"/>
    </row>
    <row r="26" ht="30.0" customHeight="1">
      <c r="A26" s="1">
        <v>22.0</v>
      </c>
      <c r="B26" s="24" t="s">
        <v>361</v>
      </c>
      <c r="C26" s="25" t="s">
        <v>362</v>
      </c>
      <c r="D26" s="26">
        <v>0.0</v>
      </c>
      <c r="E26" s="26">
        <v>0.0</v>
      </c>
      <c r="F26" s="27"/>
      <c r="G26" s="28"/>
      <c r="H26" s="28"/>
      <c r="I26" s="29"/>
      <c r="J26" s="28"/>
      <c r="K26" s="28"/>
      <c r="L26" s="29" t="s">
        <v>363</v>
      </c>
      <c r="M26" s="28">
        <v>0.0</v>
      </c>
      <c r="N26" s="28">
        <v>0.0</v>
      </c>
      <c r="O26" s="32"/>
      <c r="P26" s="31"/>
      <c r="Q26" s="31"/>
      <c r="R26" s="29" t="s">
        <v>364</v>
      </c>
      <c r="S26" s="28">
        <v>0.0</v>
      </c>
      <c r="T26" s="28">
        <v>0.00299930572509765</v>
      </c>
      <c r="U26" s="3"/>
      <c r="V26" s="3">
        <f t="shared" si="1"/>
        <v>0</v>
      </c>
      <c r="W26" s="3"/>
      <c r="X26" s="3"/>
      <c r="Y26" s="3"/>
      <c r="Z26" s="3"/>
      <c r="AA26" s="3"/>
      <c r="AB26" s="6"/>
    </row>
    <row r="27" ht="30.0" customHeight="1">
      <c r="A27" s="1">
        <v>23.0</v>
      </c>
      <c r="B27" s="24" t="s">
        <v>161</v>
      </c>
      <c r="C27" s="25" t="s">
        <v>365</v>
      </c>
      <c r="D27" s="26">
        <v>0.0</v>
      </c>
      <c r="E27" s="26">
        <v>0.00304913520812988</v>
      </c>
      <c r="F27" s="27"/>
      <c r="G27" s="28"/>
      <c r="H27" s="28"/>
      <c r="I27" s="29"/>
      <c r="J27" s="28"/>
      <c r="K27" s="28"/>
      <c r="L27" s="29" t="s">
        <v>366</v>
      </c>
      <c r="M27" s="28">
        <v>0.0</v>
      </c>
      <c r="N27" s="28">
        <v>0.00977396965026855</v>
      </c>
      <c r="O27" s="32"/>
      <c r="P27" s="31"/>
      <c r="Q27" s="31"/>
      <c r="R27" s="29" t="s">
        <v>367</v>
      </c>
      <c r="S27" s="28">
        <v>0.0</v>
      </c>
      <c r="T27" s="28">
        <v>0.00200629234313964</v>
      </c>
      <c r="U27" s="3"/>
      <c r="V27" s="3">
        <f t="shared" si="1"/>
        <v>1.519786096</v>
      </c>
      <c r="W27" s="3"/>
      <c r="X27" s="3"/>
      <c r="Y27" s="3"/>
      <c r="Z27" s="3"/>
      <c r="AA27" s="3"/>
      <c r="AB27" s="6"/>
    </row>
    <row r="28" ht="30.0" customHeight="1">
      <c r="A28" s="1">
        <v>24.0</v>
      </c>
      <c r="B28" s="24" t="s">
        <v>368</v>
      </c>
      <c r="C28" s="25" t="s">
        <v>369</v>
      </c>
      <c r="D28" s="26">
        <v>0.0</v>
      </c>
      <c r="E28" s="26">
        <v>0.0</v>
      </c>
      <c r="F28" s="27"/>
      <c r="G28" s="28"/>
      <c r="H28" s="28"/>
      <c r="I28" s="29"/>
      <c r="J28" s="28"/>
      <c r="K28" s="28"/>
      <c r="L28" s="29" t="s">
        <v>370</v>
      </c>
      <c r="M28" s="28">
        <v>0.0</v>
      </c>
      <c r="N28" s="28">
        <v>0.0</v>
      </c>
      <c r="O28" s="32"/>
      <c r="P28" s="31"/>
      <c r="Q28" s="31"/>
      <c r="R28" s="29" t="s">
        <v>371</v>
      </c>
      <c r="S28" s="28">
        <v>0.0</v>
      </c>
      <c r="T28" s="28">
        <v>0.00300025939941406</v>
      </c>
      <c r="U28" s="3"/>
      <c r="V28" s="3">
        <f t="shared" si="1"/>
        <v>0</v>
      </c>
      <c r="W28" s="3"/>
      <c r="X28" s="3"/>
      <c r="Y28" s="3"/>
      <c r="Z28" s="3"/>
      <c r="AA28" s="3"/>
      <c r="AB28" s="6"/>
    </row>
    <row r="29" ht="30.0" customHeight="1">
      <c r="A29" s="1">
        <v>25.0</v>
      </c>
      <c r="B29" s="24" t="s">
        <v>169</v>
      </c>
      <c r="C29" s="25" t="s">
        <v>170</v>
      </c>
      <c r="D29" s="26">
        <v>0.0</v>
      </c>
      <c r="E29" s="26">
        <v>0.00529766082763671</v>
      </c>
      <c r="F29" s="27"/>
      <c r="G29" s="28"/>
      <c r="H29" s="28"/>
      <c r="I29" s="29"/>
      <c r="J29" s="28"/>
      <c r="K29" s="28"/>
      <c r="L29" s="29" t="s">
        <v>372</v>
      </c>
      <c r="M29" s="28">
        <v>0.0</v>
      </c>
      <c r="N29" s="28">
        <v>0.0</v>
      </c>
      <c r="O29" s="32"/>
      <c r="P29" s="31"/>
      <c r="Q29" s="31"/>
      <c r="R29" s="29" t="s">
        <v>172</v>
      </c>
      <c r="S29" s="28">
        <v>0.0</v>
      </c>
      <c r="T29" s="28">
        <v>9.96589660644531E-4</v>
      </c>
      <c r="U29" s="3"/>
      <c r="V29" s="3">
        <f t="shared" si="1"/>
        <v>5.315789474</v>
      </c>
      <c r="W29" s="3"/>
      <c r="X29" s="3"/>
      <c r="Y29" s="3"/>
      <c r="Z29" s="3"/>
      <c r="AA29" s="3"/>
      <c r="AB29" s="6"/>
    </row>
    <row r="30" ht="30.0" customHeight="1">
      <c r="A30" s="1">
        <v>26.0</v>
      </c>
      <c r="B30" s="35" t="s">
        <v>373</v>
      </c>
      <c r="C30" s="25" t="s">
        <v>374</v>
      </c>
      <c r="D30" s="26">
        <v>0.0</v>
      </c>
      <c r="E30" s="26">
        <v>0.0</v>
      </c>
      <c r="F30" s="27"/>
      <c r="G30" s="28"/>
      <c r="H30" s="28"/>
      <c r="I30" s="29"/>
      <c r="J30" s="28"/>
      <c r="K30" s="28"/>
      <c r="L30" s="29" t="s">
        <v>375</v>
      </c>
      <c r="M30" s="28">
        <v>0.0</v>
      </c>
      <c r="N30" s="28">
        <v>0.0100634098052978</v>
      </c>
      <c r="O30" s="32"/>
      <c r="P30" s="31"/>
      <c r="Q30" s="31"/>
      <c r="R30" s="29" t="s">
        <v>376</v>
      </c>
      <c r="S30" s="28">
        <v>0.0</v>
      </c>
      <c r="T30" s="28">
        <v>0.0010080337524414</v>
      </c>
      <c r="U30" s="3"/>
      <c r="V30" s="3">
        <f t="shared" si="1"/>
        <v>0</v>
      </c>
      <c r="W30" s="3"/>
      <c r="X30" s="3"/>
      <c r="Y30" s="3"/>
      <c r="Z30" s="3"/>
      <c r="AA30" s="3"/>
      <c r="AB30" s="6"/>
    </row>
    <row r="31" ht="30.0" customHeight="1">
      <c r="A31" s="1">
        <v>27.0</v>
      </c>
      <c r="B31" s="35" t="s">
        <v>181</v>
      </c>
      <c r="C31" s="25" t="s">
        <v>182</v>
      </c>
      <c r="D31" s="26">
        <v>0.0</v>
      </c>
      <c r="E31" s="26">
        <v>0.00253605842590332</v>
      </c>
      <c r="F31" s="27"/>
      <c r="G31" s="28"/>
      <c r="H31" s="28"/>
      <c r="I31" s="29"/>
      <c r="J31" s="28"/>
      <c r="K31" s="28"/>
      <c r="L31" s="29" t="s">
        <v>377</v>
      </c>
      <c r="M31" s="28">
        <v>0.0</v>
      </c>
      <c r="N31" s="28">
        <v>0.00965023040771484</v>
      </c>
      <c r="O31" s="32"/>
      <c r="P31" s="31"/>
      <c r="Q31" s="31"/>
      <c r="R31" s="29" t="s">
        <v>184</v>
      </c>
      <c r="S31" s="28">
        <v>0.0</v>
      </c>
      <c r="T31" s="28">
        <v>0.00199294090270996</v>
      </c>
      <c r="U31" s="3"/>
      <c r="V31" s="3">
        <f t="shared" si="1"/>
        <v>1.272520636</v>
      </c>
      <c r="W31" s="3"/>
      <c r="X31" s="3"/>
      <c r="Y31" s="3"/>
      <c r="Z31" s="3"/>
      <c r="AA31" s="3"/>
      <c r="AB31" s="6"/>
    </row>
    <row r="32" ht="30.0" customHeight="1">
      <c r="A32" s="1">
        <v>28.0</v>
      </c>
      <c r="B32" s="35" t="s">
        <v>378</v>
      </c>
      <c r="C32" s="25" t="s">
        <v>379</v>
      </c>
      <c r="D32" s="26">
        <v>0.0</v>
      </c>
      <c r="E32" s="26">
        <v>0.0</v>
      </c>
      <c r="F32" s="27"/>
      <c r="G32" s="28"/>
      <c r="H32" s="28"/>
      <c r="I32" s="29"/>
      <c r="J32" s="28"/>
      <c r="K32" s="28"/>
      <c r="L32" s="29" t="s">
        <v>380</v>
      </c>
      <c r="M32" s="28">
        <v>0.0</v>
      </c>
      <c r="N32" s="28">
        <v>0.0</v>
      </c>
      <c r="O32" s="32"/>
      <c r="P32" s="31"/>
      <c r="Q32" s="31"/>
      <c r="R32" s="29" t="s">
        <v>381</v>
      </c>
      <c r="S32" s="28">
        <v>0.0</v>
      </c>
      <c r="T32" s="28">
        <v>0.00199317932128906</v>
      </c>
      <c r="U32" s="3"/>
      <c r="V32" s="3">
        <f t="shared" si="1"/>
        <v>0</v>
      </c>
      <c r="W32" s="3"/>
      <c r="X32" s="3"/>
      <c r="Y32" s="3"/>
      <c r="Z32" s="3"/>
      <c r="AA32" s="3"/>
      <c r="AB32" s="6"/>
    </row>
    <row r="33" ht="30.0" customHeight="1">
      <c r="A33" s="1">
        <v>29.0</v>
      </c>
      <c r="B33" s="35" t="s">
        <v>382</v>
      </c>
      <c r="C33" s="25" t="s">
        <v>383</v>
      </c>
      <c r="D33" s="26">
        <v>0.0</v>
      </c>
      <c r="E33" s="26">
        <v>0.0151202678680419</v>
      </c>
      <c r="F33" s="27"/>
      <c r="G33" s="28"/>
      <c r="H33" s="28"/>
      <c r="I33" s="29"/>
      <c r="J33" s="28"/>
      <c r="K33" s="28"/>
      <c r="L33" s="29" t="s">
        <v>384</v>
      </c>
      <c r="M33" s="28">
        <v>0.0</v>
      </c>
      <c r="N33" s="28">
        <v>0.0100979804992675</v>
      </c>
      <c r="O33" s="32"/>
      <c r="P33" s="31"/>
      <c r="Q33" s="31"/>
      <c r="R33" s="29" t="s">
        <v>385</v>
      </c>
      <c r="S33" s="28">
        <v>0.0</v>
      </c>
      <c r="T33" s="28">
        <v>0.00301051139831542</v>
      </c>
      <c r="U33" s="3"/>
      <c r="V33" s="3">
        <f t="shared" si="1"/>
        <v>5.022491486</v>
      </c>
      <c r="W33" s="3"/>
      <c r="X33" s="3"/>
      <c r="Y33" s="3"/>
      <c r="Z33" s="3"/>
      <c r="AA33" s="3"/>
      <c r="AB33" s="6"/>
    </row>
    <row r="34" ht="30.0" customHeight="1">
      <c r="A34" s="1">
        <v>30.0</v>
      </c>
      <c r="B34" s="35" t="s">
        <v>386</v>
      </c>
      <c r="C34" s="25" t="s">
        <v>387</v>
      </c>
      <c r="D34" s="26">
        <v>0.5</v>
      </c>
      <c r="E34" s="26">
        <v>0.00996804237365722</v>
      </c>
      <c r="F34" s="27"/>
      <c r="G34" s="28"/>
      <c r="H34" s="28"/>
      <c r="I34" s="29"/>
      <c r="J34" s="28"/>
      <c r="K34" s="28"/>
      <c r="L34" s="29" t="s">
        <v>388</v>
      </c>
      <c r="M34" s="28">
        <v>0.5</v>
      </c>
      <c r="N34" s="28">
        <v>0.0406129360198974</v>
      </c>
      <c r="O34" s="32"/>
      <c r="P34" s="31"/>
      <c r="Q34" s="31"/>
      <c r="R34" s="29" t="s">
        <v>389</v>
      </c>
      <c r="S34" s="28">
        <v>0.5</v>
      </c>
      <c r="T34" s="28">
        <v>0.00199723243713378</v>
      </c>
      <c r="U34" s="3"/>
      <c r="V34" s="3">
        <f t="shared" si="1"/>
        <v>4.99092754</v>
      </c>
      <c r="W34" s="3"/>
      <c r="X34" s="3"/>
      <c r="Y34" s="3"/>
      <c r="Z34" s="3"/>
      <c r="AA34" s="3"/>
      <c r="AB34" s="6"/>
    </row>
    <row r="35" ht="30.0" customHeight="1">
      <c r="A35" s="1">
        <v>31.0</v>
      </c>
      <c r="B35" s="35" t="s">
        <v>390</v>
      </c>
      <c r="C35" s="25" t="s">
        <v>391</v>
      </c>
      <c r="D35" s="26">
        <v>0.0</v>
      </c>
      <c r="E35" s="26">
        <v>0.0</v>
      </c>
      <c r="F35" s="27"/>
      <c r="G35" s="28"/>
      <c r="H35" s="28"/>
      <c r="I35" s="29"/>
      <c r="J35" s="28"/>
      <c r="K35" s="28"/>
      <c r="L35" s="29" t="s">
        <v>392</v>
      </c>
      <c r="M35" s="28">
        <v>0.0</v>
      </c>
      <c r="N35" s="28">
        <v>0.0</v>
      </c>
      <c r="O35" s="32"/>
      <c r="P35" s="31"/>
      <c r="Q35" s="31"/>
      <c r="R35" s="29" t="s">
        <v>393</v>
      </c>
      <c r="S35" s="28">
        <v>0.0</v>
      </c>
      <c r="T35" s="28">
        <v>0.00182890892028808</v>
      </c>
      <c r="U35" s="3"/>
      <c r="V35" s="3">
        <f t="shared" si="1"/>
        <v>0</v>
      </c>
      <c r="W35" s="3"/>
      <c r="X35" s="3"/>
      <c r="Y35" s="3"/>
      <c r="Z35" s="3"/>
      <c r="AA35" s="3"/>
      <c r="AB35" s="6"/>
    </row>
    <row r="36" ht="30.0" customHeight="1">
      <c r="A36" s="1">
        <v>32.0</v>
      </c>
      <c r="B36" s="35" t="s">
        <v>394</v>
      </c>
      <c r="C36" s="25" t="s">
        <v>395</v>
      </c>
      <c r="D36" s="26">
        <v>0.0</v>
      </c>
      <c r="E36" s="26">
        <v>0.0</v>
      </c>
      <c r="F36" s="27"/>
      <c r="G36" s="28"/>
      <c r="H36" s="28"/>
      <c r="I36" s="29"/>
      <c r="J36" s="28"/>
      <c r="K36" s="28"/>
      <c r="L36" s="29" t="s">
        <v>396</v>
      </c>
      <c r="M36" s="28">
        <v>0.0</v>
      </c>
      <c r="N36" s="28">
        <v>8.63075256347656E-5</v>
      </c>
      <c r="O36" s="32"/>
      <c r="P36" s="31"/>
      <c r="Q36" s="31"/>
      <c r="R36" s="29" t="s">
        <v>397</v>
      </c>
      <c r="S36" s="28">
        <v>0.0</v>
      </c>
      <c r="T36" s="28">
        <v>0.00163483619689941</v>
      </c>
      <c r="U36" s="3"/>
      <c r="V36" s="3">
        <f t="shared" si="1"/>
        <v>0</v>
      </c>
      <c r="W36" s="3"/>
      <c r="X36" s="3"/>
      <c r="Y36" s="3"/>
      <c r="Z36" s="3"/>
      <c r="AA36" s="3"/>
      <c r="AB36" s="6"/>
    </row>
    <row r="37" ht="30.0" customHeight="1">
      <c r="A37" s="1">
        <v>33.0</v>
      </c>
      <c r="B37" s="35" t="s">
        <v>398</v>
      </c>
      <c r="C37" s="25" t="s">
        <v>399</v>
      </c>
      <c r="D37" s="26">
        <v>0.0</v>
      </c>
      <c r="E37" s="26">
        <v>0.0</v>
      </c>
      <c r="F37" s="27"/>
      <c r="G37" s="28"/>
      <c r="H37" s="28"/>
      <c r="I37" s="29"/>
      <c r="J37" s="28"/>
      <c r="K37" s="28"/>
      <c r="L37" s="29" t="s">
        <v>400</v>
      </c>
      <c r="M37" s="28">
        <v>0.0</v>
      </c>
      <c r="N37" s="28">
        <v>0.0</v>
      </c>
      <c r="O37" s="32"/>
      <c r="P37" s="31"/>
      <c r="Q37" s="31"/>
      <c r="R37" s="29" t="s">
        <v>401</v>
      </c>
      <c r="S37" s="28">
        <v>0.0</v>
      </c>
      <c r="T37" s="28">
        <v>0.00199294090270996</v>
      </c>
      <c r="U37" s="3"/>
      <c r="V37" s="3">
        <f t="shared" si="1"/>
        <v>0</v>
      </c>
      <c r="W37" s="3"/>
      <c r="X37" s="3"/>
      <c r="Y37" s="3"/>
      <c r="Z37" s="3"/>
      <c r="AA37" s="3"/>
      <c r="AB37" s="6"/>
    </row>
    <row r="38" ht="30.0" customHeight="1">
      <c r="A38" s="1">
        <v>34.0</v>
      </c>
      <c r="B38" s="35" t="s">
        <v>402</v>
      </c>
      <c r="C38" s="25" t="s">
        <v>403</v>
      </c>
      <c r="D38" s="26">
        <v>0.0</v>
      </c>
      <c r="E38" s="26">
        <v>0.0</v>
      </c>
      <c r="F38" s="27"/>
      <c r="G38" s="28"/>
      <c r="H38" s="28"/>
      <c r="I38" s="29"/>
      <c r="J38" s="28"/>
      <c r="K38" s="28"/>
      <c r="L38" s="29" t="s">
        <v>404</v>
      </c>
      <c r="M38" s="28">
        <v>0.0</v>
      </c>
      <c r="N38" s="28">
        <v>0.0</v>
      </c>
      <c r="O38" s="32"/>
      <c r="P38" s="31"/>
      <c r="Q38" s="31"/>
      <c r="R38" s="29" t="s">
        <v>405</v>
      </c>
      <c r="S38" s="28">
        <v>0.0</v>
      </c>
      <c r="T38" s="28">
        <v>9.86099243164062E-4</v>
      </c>
      <c r="U38" s="3"/>
      <c r="V38" s="3">
        <f t="shared" si="1"/>
        <v>0</v>
      </c>
      <c r="W38" s="3"/>
      <c r="X38" s="3"/>
      <c r="Y38" s="3"/>
      <c r="Z38" s="3"/>
      <c r="AA38" s="3"/>
      <c r="AB38" s="6"/>
    </row>
    <row r="39" ht="30.0" customHeight="1">
      <c r="A39" s="1">
        <v>35.0</v>
      </c>
      <c r="B39" s="35" t="s">
        <v>406</v>
      </c>
      <c r="C39" s="25" t="s">
        <v>407</v>
      </c>
      <c r="D39" s="26">
        <v>0.0</v>
      </c>
      <c r="E39" s="26">
        <v>0.0154922008514404</v>
      </c>
      <c r="F39" s="27"/>
      <c r="G39" s="28"/>
      <c r="H39" s="28"/>
      <c r="I39" s="29"/>
      <c r="J39" s="28"/>
      <c r="K39" s="28"/>
      <c r="L39" s="29" t="s">
        <v>408</v>
      </c>
      <c r="M39" s="28">
        <v>0.0</v>
      </c>
      <c r="N39" s="28">
        <v>0.0</v>
      </c>
      <c r="O39" s="32"/>
      <c r="P39" s="31"/>
      <c r="Q39" s="31"/>
      <c r="R39" s="29" t="s">
        <v>409</v>
      </c>
      <c r="S39" s="28">
        <v>0.0</v>
      </c>
      <c r="T39" s="28">
        <v>0.00201272964477539</v>
      </c>
      <c r="U39" s="3"/>
      <c r="V39" s="3">
        <f t="shared" si="1"/>
        <v>7.69710969</v>
      </c>
      <c r="W39" s="3"/>
      <c r="X39" s="3"/>
      <c r="Y39" s="3"/>
      <c r="Z39" s="3"/>
      <c r="AA39" s="3"/>
      <c r="AB39" s="6"/>
    </row>
    <row r="40" ht="30.0" customHeight="1">
      <c r="A40" s="1">
        <v>36.0</v>
      </c>
      <c r="B40" s="35" t="s">
        <v>410</v>
      </c>
      <c r="C40" s="25" t="s">
        <v>411</v>
      </c>
      <c r="D40" s="26">
        <v>0.0</v>
      </c>
      <c r="E40" s="26">
        <v>0.0</v>
      </c>
      <c r="F40" s="27"/>
      <c r="G40" s="28"/>
      <c r="H40" s="28"/>
      <c r="I40" s="29"/>
      <c r="J40" s="28"/>
      <c r="K40" s="28"/>
      <c r="L40" s="29" t="s">
        <v>412</v>
      </c>
      <c r="M40" s="28">
        <v>0.0</v>
      </c>
      <c r="N40" s="28">
        <v>0.0</v>
      </c>
      <c r="O40" s="32"/>
      <c r="P40" s="31"/>
      <c r="Q40" s="31"/>
      <c r="R40" s="29" t="s">
        <v>413</v>
      </c>
      <c r="S40" s="28">
        <v>0.0</v>
      </c>
      <c r="T40" s="28">
        <v>0.00200343132019042</v>
      </c>
      <c r="U40" s="3"/>
      <c r="V40" s="3">
        <f t="shared" si="1"/>
        <v>0</v>
      </c>
      <c r="W40" s="3"/>
      <c r="X40" s="3"/>
      <c r="Y40" s="3"/>
      <c r="Z40" s="3"/>
      <c r="AA40" s="3"/>
      <c r="AB40" s="6"/>
    </row>
    <row r="41" ht="30.0" customHeight="1">
      <c r="A41" s="1">
        <v>37.0</v>
      </c>
      <c r="B41" s="35" t="s">
        <v>227</v>
      </c>
      <c r="C41" s="25" t="s">
        <v>414</v>
      </c>
      <c r="D41" s="26">
        <v>0.0</v>
      </c>
      <c r="E41" s="26">
        <v>0.0065164566040039</v>
      </c>
      <c r="F41" s="27"/>
      <c r="G41" s="28"/>
      <c r="H41" s="28"/>
      <c r="I41" s="29"/>
      <c r="J41" s="28"/>
      <c r="K41" s="28"/>
      <c r="L41" s="29" t="s">
        <v>415</v>
      </c>
      <c r="M41" s="28">
        <v>0.0</v>
      </c>
      <c r="N41" s="28">
        <v>0.0</v>
      </c>
      <c r="O41" s="32"/>
      <c r="P41" s="31"/>
      <c r="Q41" s="31"/>
      <c r="R41" s="29" t="s">
        <v>416</v>
      </c>
      <c r="S41" s="28">
        <v>0.0</v>
      </c>
      <c r="T41" s="28">
        <v>0.00199270248413085</v>
      </c>
      <c r="U41" s="3"/>
      <c r="V41" s="3">
        <f t="shared" si="1"/>
        <v>3.270160325</v>
      </c>
      <c r="W41" s="3"/>
      <c r="X41" s="3"/>
      <c r="Y41" s="3"/>
      <c r="Z41" s="3"/>
      <c r="AA41" s="3"/>
      <c r="AB41" s="6"/>
    </row>
    <row r="42" ht="30.0" customHeight="1">
      <c r="A42" s="1">
        <v>38.0</v>
      </c>
      <c r="B42" s="35" t="s">
        <v>417</v>
      </c>
      <c r="C42" s="25" t="s">
        <v>418</v>
      </c>
      <c r="D42" s="26">
        <v>0.0</v>
      </c>
      <c r="E42" s="26">
        <v>0.0</v>
      </c>
      <c r="F42" s="27"/>
      <c r="G42" s="28"/>
      <c r="H42" s="28"/>
      <c r="I42" s="29"/>
      <c r="J42" s="28"/>
      <c r="K42" s="28"/>
      <c r="L42" s="29" t="s">
        <v>419</v>
      </c>
      <c r="M42" s="28">
        <v>0.0</v>
      </c>
      <c r="N42" s="28">
        <v>0.0</v>
      </c>
      <c r="O42" s="32"/>
      <c r="P42" s="31"/>
      <c r="Q42" s="31"/>
      <c r="R42" s="29" t="s">
        <v>420</v>
      </c>
      <c r="S42" s="28">
        <v>0.0</v>
      </c>
      <c r="T42" s="28">
        <v>0.00298976898193359</v>
      </c>
      <c r="U42" s="3"/>
      <c r="V42" s="3">
        <f t="shared" si="1"/>
        <v>0</v>
      </c>
      <c r="W42" s="3"/>
      <c r="X42" s="3"/>
      <c r="Y42" s="3"/>
      <c r="Z42" s="3"/>
      <c r="AA42" s="3"/>
      <c r="AB42" s="6"/>
    </row>
    <row r="43" ht="30.0" customHeight="1">
      <c r="A43" s="1">
        <v>39.0</v>
      </c>
      <c r="B43" s="35" t="s">
        <v>235</v>
      </c>
      <c r="C43" s="25" t="s">
        <v>421</v>
      </c>
      <c r="D43" s="26">
        <v>0.0</v>
      </c>
      <c r="E43" s="26">
        <v>0.00629210472106933</v>
      </c>
      <c r="F43" s="27"/>
      <c r="G43" s="28"/>
      <c r="H43" s="28"/>
      <c r="I43" s="29"/>
      <c r="J43" s="28"/>
      <c r="K43" s="28"/>
      <c r="L43" s="29" t="s">
        <v>422</v>
      </c>
      <c r="M43" s="28">
        <v>0.0</v>
      </c>
      <c r="N43" s="28">
        <v>0.0</v>
      </c>
      <c r="O43" s="32"/>
      <c r="P43" s="31"/>
      <c r="Q43" s="31"/>
      <c r="R43" s="29" t="s">
        <v>423</v>
      </c>
      <c r="S43" s="28">
        <v>0.0</v>
      </c>
      <c r="T43" s="28">
        <v>0.00100588798522949</v>
      </c>
      <c r="U43" s="3"/>
      <c r="V43" s="3">
        <f t="shared" si="1"/>
        <v>6.255273762</v>
      </c>
      <c r="W43" s="3"/>
      <c r="X43" s="3"/>
      <c r="Y43" s="3"/>
      <c r="Z43" s="3"/>
      <c r="AA43" s="3"/>
      <c r="AB43" s="6"/>
    </row>
    <row r="44" ht="30.0" customHeight="1">
      <c r="A44" s="1">
        <v>40.0</v>
      </c>
      <c r="B44" s="35" t="s">
        <v>424</v>
      </c>
      <c r="C44" s="25" t="s">
        <v>425</v>
      </c>
      <c r="D44" s="26">
        <v>0.0</v>
      </c>
      <c r="E44" s="26">
        <v>0.0105252265930175</v>
      </c>
      <c r="F44" s="27"/>
      <c r="G44" s="28"/>
      <c r="H44" s="28"/>
      <c r="I44" s="29"/>
      <c r="J44" s="28"/>
      <c r="K44" s="28"/>
      <c r="L44" s="29" t="s">
        <v>426</v>
      </c>
      <c r="M44" s="28">
        <v>0.0</v>
      </c>
      <c r="N44" s="28">
        <v>0.0</v>
      </c>
      <c r="O44" s="32"/>
      <c r="P44" s="31"/>
      <c r="Q44" s="31"/>
      <c r="R44" s="29" t="s">
        <v>427</v>
      </c>
      <c r="S44" s="28">
        <v>0.0</v>
      </c>
      <c r="T44" s="28">
        <v>9.96589660644531E-4</v>
      </c>
      <c r="U44" s="3"/>
      <c r="V44" s="3">
        <f t="shared" si="1"/>
        <v>10.56124402</v>
      </c>
      <c r="W44" s="3"/>
      <c r="X44" s="3"/>
      <c r="Y44" s="3"/>
      <c r="Z44" s="3"/>
      <c r="AA44" s="3"/>
      <c r="AB44" s="6"/>
    </row>
    <row r="45" ht="30.0" customHeight="1">
      <c r="A45" s="1">
        <v>41.0</v>
      </c>
      <c r="B45" s="35" t="s">
        <v>247</v>
      </c>
      <c r="C45" s="25" t="s">
        <v>248</v>
      </c>
      <c r="D45" s="26">
        <v>0.0</v>
      </c>
      <c r="E45" s="26">
        <v>0.0030364990234375</v>
      </c>
      <c r="F45" s="27"/>
      <c r="G45" s="28"/>
      <c r="H45" s="28"/>
      <c r="I45" s="29"/>
      <c r="J45" s="28"/>
      <c r="K45" s="28"/>
      <c r="L45" s="29" t="s">
        <v>428</v>
      </c>
      <c r="M45" s="28">
        <v>0.0</v>
      </c>
      <c r="N45" s="28">
        <v>0.0</v>
      </c>
      <c r="O45" s="32"/>
      <c r="P45" s="31"/>
      <c r="Q45" s="31"/>
      <c r="R45" s="29" t="s">
        <v>250</v>
      </c>
      <c r="S45" s="28">
        <v>0.0</v>
      </c>
      <c r="T45" s="28">
        <v>9.97066497802734E-4</v>
      </c>
      <c r="U45" s="3"/>
      <c r="V45" s="3">
        <f t="shared" si="1"/>
        <v>3.045432807</v>
      </c>
      <c r="W45" s="3"/>
      <c r="X45" s="3"/>
      <c r="Y45" s="3"/>
      <c r="Z45" s="3"/>
      <c r="AA45" s="3"/>
      <c r="AB45" s="6"/>
    </row>
    <row r="46" ht="30.0" customHeight="1">
      <c r="A46" s="1">
        <v>42.0</v>
      </c>
      <c r="B46" s="35" t="s">
        <v>429</v>
      </c>
      <c r="C46" s="25" t="s">
        <v>430</v>
      </c>
      <c r="D46" s="26">
        <v>0.0</v>
      </c>
      <c r="E46" s="26">
        <v>0.0</v>
      </c>
      <c r="F46" s="27"/>
      <c r="G46" s="28"/>
      <c r="H46" s="28"/>
      <c r="I46" s="29"/>
      <c r="J46" s="28"/>
      <c r="K46" s="28"/>
      <c r="L46" s="29" t="s">
        <v>431</v>
      </c>
      <c r="M46" s="28">
        <v>0.0</v>
      </c>
      <c r="N46" s="28">
        <v>0.0</v>
      </c>
      <c r="O46" s="32"/>
      <c r="P46" s="31"/>
      <c r="Q46" s="31"/>
      <c r="R46" s="29" t="s">
        <v>432</v>
      </c>
      <c r="S46" s="28">
        <v>0.0</v>
      </c>
      <c r="T46" s="28">
        <v>0.0018007755279541</v>
      </c>
      <c r="U46" s="3"/>
      <c r="V46" s="3">
        <f t="shared" si="1"/>
        <v>0</v>
      </c>
      <c r="W46" s="3"/>
      <c r="X46" s="3"/>
      <c r="Y46" s="3"/>
      <c r="Z46" s="3"/>
      <c r="AA46" s="3"/>
      <c r="AB46" s="6"/>
    </row>
    <row r="47" ht="30.0" customHeight="1">
      <c r="A47" s="1">
        <v>43.0</v>
      </c>
      <c r="B47" s="35" t="s">
        <v>433</v>
      </c>
      <c r="C47" s="25" t="s">
        <v>434</v>
      </c>
      <c r="D47" s="26">
        <v>0.0</v>
      </c>
      <c r="E47" s="26">
        <v>0.0</v>
      </c>
      <c r="F47" s="27"/>
      <c r="G47" s="28"/>
      <c r="H47" s="28"/>
      <c r="I47" s="29"/>
      <c r="J47" s="28"/>
      <c r="K47" s="28"/>
      <c r="L47" s="29" t="s">
        <v>435</v>
      </c>
      <c r="M47" s="28">
        <v>0.0</v>
      </c>
      <c r="N47" s="28">
        <v>0.0122511386871337</v>
      </c>
      <c r="O47" s="32"/>
      <c r="P47" s="31"/>
      <c r="Q47" s="31"/>
      <c r="R47" s="29" t="s">
        <v>436</v>
      </c>
      <c r="S47" s="28">
        <v>0.0</v>
      </c>
      <c r="T47" s="28">
        <v>0.00299811363220214</v>
      </c>
      <c r="U47" s="3"/>
      <c r="V47" s="3">
        <f t="shared" si="1"/>
        <v>0</v>
      </c>
      <c r="W47" s="3"/>
      <c r="X47" s="3"/>
      <c r="Y47" s="3"/>
      <c r="Z47" s="3"/>
      <c r="AA47" s="3"/>
      <c r="AB47" s="6"/>
    </row>
    <row r="48" ht="30.0" customHeight="1">
      <c r="A48" s="1">
        <v>44.0</v>
      </c>
      <c r="B48" s="35" t="s">
        <v>437</v>
      </c>
      <c r="C48" s="25" t="s">
        <v>438</v>
      </c>
      <c r="D48" s="26">
        <v>0.0</v>
      </c>
      <c r="E48" s="26">
        <v>0.0</v>
      </c>
      <c r="F48" s="27"/>
      <c r="G48" s="28"/>
      <c r="H48" s="28"/>
      <c r="I48" s="29"/>
      <c r="J48" s="28"/>
      <c r="K48" s="28"/>
      <c r="L48" s="29" t="s">
        <v>439</v>
      </c>
      <c r="M48" s="28">
        <v>0.0</v>
      </c>
      <c r="N48" s="28">
        <v>0.0</v>
      </c>
      <c r="O48" s="32"/>
      <c r="P48" s="31"/>
      <c r="Q48" s="31"/>
      <c r="R48" s="29" t="s">
        <v>440</v>
      </c>
      <c r="S48" s="28">
        <v>0.0</v>
      </c>
      <c r="T48" s="28">
        <v>0.0029761791229248</v>
      </c>
      <c r="U48" s="3"/>
      <c r="V48" s="3">
        <f t="shared" si="1"/>
        <v>0</v>
      </c>
      <c r="W48" s="3"/>
      <c r="X48" s="3"/>
      <c r="Y48" s="3"/>
      <c r="Z48" s="3"/>
      <c r="AA48" s="3"/>
      <c r="AB48" s="6"/>
    </row>
    <row r="49" ht="30.0" customHeight="1">
      <c r="A49" s="1">
        <v>45.0</v>
      </c>
      <c r="B49" s="35" t="s">
        <v>441</v>
      </c>
      <c r="C49" s="25" t="s">
        <v>442</v>
      </c>
      <c r="D49" s="26">
        <v>0.0</v>
      </c>
      <c r="E49" s="26">
        <v>0.0</v>
      </c>
      <c r="F49" s="27"/>
      <c r="G49" s="28"/>
      <c r="H49" s="28"/>
      <c r="I49" s="29"/>
      <c r="J49" s="28"/>
      <c r="K49" s="28"/>
      <c r="L49" s="29" t="s">
        <v>443</v>
      </c>
      <c r="M49" s="28">
        <v>0.0</v>
      </c>
      <c r="N49" s="28">
        <v>0.00463557243347168</v>
      </c>
      <c r="O49" s="32"/>
      <c r="P49" s="31"/>
      <c r="Q49" s="31"/>
      <c r="R49" s="29" t="s">
        <v>444</v>
      </c>
      <c r="S49" s="28">
        <v>0.0</v>
      </c>
      <c r="T49" s="28">
        <v>0.00198292732238769</v>
      </c>
      <c r="U49" s="3"/>
      <c r="V49" s="3">
        <f t="shared" si="1"/>
        <v>0</v>
      </c>
      <c r="W49" s="3"/>
      <c r="X49" s="3"/>
      <c r="Y49" s="3"/>
      <c r="Z49" s="3"/>
      <c r="AA49" s="3"/>
      <c r="AB49" s="6"/>
    </row>
    <row r="50" ht="30.0" customHeight="1">
      <c r="A50" s="1">
        <v>46.0</v>
      </c>
      <c r="B50" s="35" t="s">
        <v>445</v>
      </c>
      <c r="C50" s="25" t="s">
        <v>446</v>
      </c>
      <c r="D50" s="26">
        <v>0.0</v>
      </c>
      <c r="E50" s="26">
        <v>0.0103390216827392</v>
      </c>
      <c r="F50" s="27"/>
      <c r="G50" s="28"/>
      <c r="H50" s="28"/>
      <c r="I50" s="29"/>
      <c r="J50" s="28"/>
      <c r="K50" s="28"/>
      <c r="L50" s="29" t="s">
        <v>447</v>
      </c>
      <c r="M50" s="28">
        <v>0.0</v>
      </c>
      <c r="N50" s="28">
        <v>0.0</v>
      </c>
      <c r="O50" s="32"/>
      <c r="P50" s="31"/>
      <c r="Q50" s="31"/>
      <c r="R50" s="29" t="s">
        <v>448</v>
      </c>
      <c r="S50" s="28">
        <v>0.0</v>
      </c>
      <c r="T50" s="28">
        <v>0.00199031829833984</v>
      </c>
      <c r="U50" s="3"/>
      <c r="V50" s="3">
        <f t="shared" si="1"/>
        <v>5.194657403</v>
      </c>
      <c r="W50" s="3"/>
      <c r="X50" s="3"/>
      <c r="Y50" s="3"/>
      <c r="Z50" s="3"/>
      <c r="AA50" s="3"/>
      <c r="AB50" s="6"/>
    </row>
    <row r="51" ht="30.0" customHeight="1">
      <c r="A51" s="1">
        <v>47.0</v>
      </c>
      <c r="B51" s="35" t="s">
        <v>449</v>
      </c>
      <c r="C51" s="25" t="s">
        <v>450</v>
      </c>
      <c r="D51" s="26">
        <v>0.0</v>
      </c>
      <c r="E51" s="26">
        <v>0.0</v>
      </c>
      <c r="F51" s="27"/>
      <c r="G51" s="28"/>
      <c r="H51" s="28"/>
      <c r="I51" s="29"/>
      <c r="J51" s="28"/>
      <c r="K51" s="28"/>
      <c r="L51" s="29" t="s">
        <v>451</v>
      </c>
      <c r="M51" s="28">
        <v>0.0</v>
      </c>
      <c r="N51" s="28">
        <v>0.0</v>
      </c>
      <c r="O51" s="32"/>
      <c r="P51" s="31"/>
      <c r="Q51" s="31"/>
      <c r="R51" s="29" t="s">
        <v>452</v>
      </c>
      <c r="S51" s="28">
        <v>0.0</v>
      </c>
      <c r="T51" s="28">
        <v>0.00200223922729492</v>
      </c>
      <c r="U51" s="3"/>
      <c r="V51" s="3">
        <f t="shared" si="1"/>
        <v>0</v>
      </c>
      <c r="W51" s="3"/>
      <c r="X51" s="3"/>
      <c r="Y51" s="3"/>
      <c r="Z51" s="3"/>
      <c r="AA51" s="3"/>
      <c r="AB51" s="6"/>
    </row>
    <row r="52" ht="30.0" customHeight="1">
      <c r="A52" s="1">
        <v>48.0</v>
      </c>
      <c r="B52" s="35" t="s">
        <v>453</v>
      </c>
      <c r="C52" s="25" t="s">
        <v>454</v>
      </c>
      <c r="D52" s="26">
        <v>0.0</v>
      </c>
      <c r="E52" s="26">
        <v>0.0</v>
      </c>
      <c r="F52" s="27"/>
      <c r="G52" s="28"/>
      <c r="H52" s="28"/>
      <c r="I52" s="29"/>
      <c r="J52" s="28"/>
      <c r="K52" s="28"/>
      <c r="L52" s="29" t="s">
        <v>455</v>
      </c>
      <c r="M52" s="28">
        <v>0.0</v>
      </c>
      <c r="N52" s="28">
        <v>0.0</v>
      </c>
      <c r="O52" s="32"/>
      <c r="P52" s="31"/>
      <c r="Q52" s="31"/>
      <c r="R52" s="29" t="s">
        <v>456</v>
      </c>
      <c r="S52" s="28">
        <v>0.0</v>
      </c>
      <c r="T52" s="28">
        <v>9.99927520751953E-4</v>
      </c>
      <c r="U52" s="3"/>
      <c r="V52" s="3">
        <f t="shared" si="1"/>
        <v>0</v>
      </c>
      <c r="W52" s="3"/>
      <c r="X52" s="3"/>
      <c r="Y52" s="3"/>
      <c r="Z52" s="3"/>
      <c r="AA52" s="3"/>
      <c r="AB52" s="6"/>
    </row>
    <row r="53" ht="30.0" customHeight="1">
      <c r="A53" s="1">
        <v>49.0</v>
      </c>
      <c r="B53" s="35" t="s">
        <v>457</v>
      </c>
      <c r="C53" s="25" t="s">
        <v>458</v>
      </c>
      <c r="D53" s="26">
        <v>0.0</v>
      </c>
      <c r="E53" s="26">
        <v>0.00297951698303222</v>
      </c>
      <c r="F53" s="27"/>
      <c r="G53" s="28"/>
      <c r="H53" s="28"/>
      <c r="I53" s="29"/>
      <c r="J53" s="28"/>
      <c r="K53" s="28"/>
      <c r="L53" s="29" t="s">
        <v>459</v>
      </c>
      <c r="M53" s="28">
        <v>0.0</v>
      </c>
      <c r="N53" s="28">
        <v>0.0</v>
      </c>
      <c r="O53" s="32"/>
      <c r="P53" s="31"/>
      <c r="Q53" s="31"/>
      <c r="R53" s="29" t="s">
        <v>460</v>
      </c>
      <c r="S53" s="28">
        <v>0.0</v>
      </c>
      <c r="T53" s="28">
        <v>0.00299859046936035</v>
      </c>
      <c r="U53" s="3"/>
      <c r="V53" s="3">
        <f t="shared" si="1"/>
        <v>0.9936391826</v>
      </c>
      <c r="W53" s="3"/>
      <c r="X53" s="3"/>
      <c r="Y53" s="3"/>
      <c r="Z53" s="3"/>
      <c r="AA53" s="3"/>
      <c r="AB53" s="6"/>
    </row>
    <row r="54" ht="30.0" customHeight="1">
      <c r="A54" s="1">
        <v>50.0</v>
      </c>
      <c r="B54" s="35"/>
      <c r="C54" s="25"/>
      <c r="D54" s="26"/>
      <c r="E54" s="26"/>
      <c r="F54" s="27"/>
      <c r="G54" s="28"/>
      <c r="H54" s="28"/>
      <c r="I54" s="29"/>
      <c r="J54" s="28"/>
      <c r="K54" s="28"/>
      <c r="L54" s="29"/>
      <c r="M54" s="28"/>
      <c r="N54" s="28"/>
      <c r="O54" s="32"/>
      <c r="P54" s="31"/>
      <c r="Q54" s="31"/>
      <c r="R54" s="29"/>
      <c r="S54" s="28"/>
      <c r="T54" s="28"/>
      <c r="U54" s="3"/>
      <c r="V54" s="3">
        <f>AVERAGE(V5:V53)</f>
        <v>1.725148361</v>
      </c>
      <c r="W54" s="3"/>
      <c r="X54" s="3"/>
      <c r="Y54" s="3"/>
      <c r="Z54" s="3"/>
      <c r="AA54" s="3"/>
      <c r="AB54" s="6"/>
    </row>
    <row r="55" ht="15.75" customHeight="1">
      <c r="A55" s="36"/>
      <c r="C55" s="35"/>
      <c r="D55" s="2"/>
      <c r="E55" s="37">
        <f>SUM(E5:E54)</f>
        <v>0.1662261486</v>
      </c>
      <c r="F55" s="2"/>
      <c r="G55" s="2"/>
      <c r="H55" s="38">
        <f>SUM(H5:H54)</f>
        <v>0</v>
      </c>
      <c r="I55" s="2"/>
      <c r="J55" s="2"/>
      <c r="K55" s="38">
        <f>SUM(K5:K54)</f>
        <v>0</v>
      </c>
      <c r="L55" s="2"/>
      <c r="M55" s="2"/>
      <c r="N55" s="38">
        <f>SUM(N5:N54)</f>
        <v>0.2325589657</v>
      </c>
      <c r="O55" s="35"/>
      <c r="P55" s="2"/>
      <c r="Q55" s="2"/>
      <c r="R55" s="2"/>
      <c r="S55" s="2"/>
      <c r="T55" s="38">
        <f>SUM(T5:T54)</f>
        <v>0.110588789</v>
      </c>
      <c r="U55" s="3"/>
      <c r="V55" s="3"/>
      <c r="W55" s="3"/>
      <c r="X55" s="3"/>
      <c r="Y55" s="3"/>
      <c r="Z55" s="3"/>
      <c r="AA55" s="3"/>
      <c r="AB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2"/>
      <c r="J56" s="2"/>
      <c r="K56" s="2"/>
      <c r="L56" s="2"/>
      <c r="M56" s="2"/>
      <c r="N56" s="2"/>
      <c r="O56" s="35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ht="15.75" customHeight="1">
      <c r="A57" s="36"/>
      <c r="C57" s="35"/>
      <c r="D57" s="2"/>
      <c r="E57" s="39"/>
      <c r="F57" s="2"/>
      <c r="G57" s="2"/>
      <c r="H57" s="2"/>
      <c r="I57" s="2"/>
      <c r="J57" s="2"/>
      <c r="K57" s="2"/>
      <c r="L57" s="2"/>
      <c r="M57" s="2"/>
      <c r="N57" s="2"/>
      <c r="O57" s="35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ht="15.75" customHeight="1">
      <c r="A58" s="36"/>
      <c r="C58" s="35"/>
      <c r="D58" s="2"/>
      <c r="E58" s="39"/>
      <c r="F58" s="2"/>
      <c r="G58" s="2"/>
      <c r="H58" s="2"/>
      <c r="I58" s="2"/>
      <c r="J58" s="2"/>
      <c r="K58" s="2"/>
      <c r="L58" s="2"/>
      <c r="M58" s="2"/>
      <c r="N58" s="2"/>
      <c r="O58" s="35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ht="15.75" customHeight="1">
      <c r="A59" s="36"/>
      <c r="C59" s="35"/>
      <c r="D59" s="2"/>
      <c r="E59" s="39"/>
      <c r="F59" s="2"/>
      <c r="G59" s="2"/>
      <c r="H59" s="2"/>
      <c r="I59" s="2"/>
      <c r="J59" s="2"/>
      <c r="K59" s="2"/>
      <c r="L59" s="2"/>
      <c r="M59" s="2"/>
      <c r="N59" s="2"/>
      <c r="O59" s="35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ht="15.75" customHeight="1">
      <c r="A60" s="36"/>
      <c r="C60" s="35"/>
      <c r="D60" s="2"/>
      <c r="E60" s="39"/>
      <c r="F60" s="2"/>
      <c r="G60" s="2"/>
      <c r="H60" s="2"/>
      <c r="I60" s="2"/>
      <c r="J60" s="2"/>
      <c r="K60" s="2"/>
      <c r="L60" s="2"/>
      <c r="M60" s="2"/>
      <c r="N60" s="2"/>
      <c r="O60" s="35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ht="15.75" customHeight="1">
      <c r="A61" s="36"/>
      <c r="C61" s="35"/>
      <c r="D61" s="2"/>
      <c r="E61" s="39"/>
      <c r="F61" s="2"/>
      <c r="G61" s="2"/>
      <c r="H61" s="2"/>
      <c r="I61" s="2"/>
      <c r="J61" s="2"/>
      <c r="K61" s="2"/>
      <c r="L61" s="2"/>
      <c r="M61" s="2"/>
      <c r="N61" s="2"/>
      <c r="O61" s="35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ht="15.75" customHeight="1">
      <c r="A62" s="36"/>
      <c r="C62" s="35"/>
      <c r="D62" s="2"/>
      <c r="E62" s="39"/>
      <c r="F62" s="2"/>
      <c r="G62" s="2"/>
      <c r="H62" s="2"/>
      <c r="I62" s="2"/>
      <c r="J62" s="2"/>
      <c r="K62" s="2"/>
      <c r="L62" s="2"/>
      <c r="M62" s="2"/>
      <c r="N62" s="2"/>
      <c r="O62" s="35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ht="15.75" customHeight="1">
      <c r="A63" s="36"/>
      <c r="C63" s="35"/>
      <c r="D63" s="2"/>
      <c r="E63" s="39"/>
      <c r="F63" s="2"/>
      <c r="G63" s="2"/>
      <c r="H63" s="2"/>
      <c r="I63" s="2"/>
      <c r="J63" s="2"/>
      <c r="K63" s="2"/>
      <c r="L63" s="2"/>
      <c r="M63" s="2"/>
      <c r="N63" s="2"/>
      <c r="O63" s="35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ht="15.75" customHeight="1">
      <c r="A64" s="36"/>
      <c r="C64" s="35"/>
      <c r="D64" s="2"/>
      <c r="E64" s="39"/>
      <c r="F64" s="2"/>
      <c r="G64" s="2"/>
      <c r="H64" s="2"/>
      <c r="I64" s="2"/>
      <c r="J64" s="2"/>
      <c r="K64" s="2"/>
      <c r="L64" s="2"/>
      <c r="M64" s="2"/>
      <c r="N64" s="2"/>
      <c r="O64" s="35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ht="15.75" customHeight="1">
      <c r="A65" s="36"/>
      <c r="C65" s="35"/>
      <c r="D65" s="2"/>
      <c r="E65" s="39"/>
      <c r="F65" s="2"/>
      <c r="G65" s="2"/>
      <c r="H65" s="2"/>
      <c r="I65" s="2"/>
      <c r="J65" s="2"/>
      <c r="K65" s="2"/>
      <c r="L65" s="2"/>
      <c r="M65" s="2"/>
      <c r="N65" s="2"/>
      <c r="O65" s="35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ht="15.75" customHeight="1">
      <c r="A66" s="36"/>
      <c r="C66" s="35"/>
      <c r="D66" s="2"/>
      <c r="E66" s="39"/>
      <c r="F66" s="2"/>
      <c r="G66" s="2"/>
      <c r="H66" s="2"/>
      <c r="I66" s="2"/>
      <c r="J66" s="2"/>
      <c r="K66" s="2"/>
      <c r="L66" s="2"/>
      <c r="M66" s="2"/>
      <c r="N66" s="2"/>
      <c r="O66" s="35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ht="15.75" customHeight="1">
      <c r="A67" s="36"/>
      <c r="C67" s="35"/>
      <c r="D67" s="2"/>
      <c r="E67" s="39"/>
      <c r="F67" s="2"/>
      <c r="G67" s="2"/>
      <c r="H67" s="2"/>
      <c r="I67" s="2"/>
      <c r="J67" s="2"/>
      <c r="K67" s="2"/>
      <c r="L67" s="2"/>
      <c r="M67" s="2"/>
      <c r="N67" s="2"/>
      <c r="O67" s="35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ht="15.75" customHeight="1">
      <c r="A68" s="36"/>
      <c r="C68" s="35"/>
      <c r="D68" s="2"/>
      <c r="E68" s="39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ht="15.75" customHeight="1">
      <c r="A69" s="36"/>
      <c r="C69" s="35"/>
      <c r="D69" s="2"/>
      <c r="E69" s="39"/>
      <c r="F69" s="2"/>
      <c r="G69" s="2"/>
      <c r="H69" s="2"/>
      <c r="I69" s="2"/>
      <c r="J69" s="2"/>
      <c r="K69" s="2"/>
      <c r="L69" s="2"/>
      <c r="M69" s="2"/>
      <c r="N69" s="2"/>
      <c r="O69" s="35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ht="15.75" customHeight="1">
      <c r="A70" s="36"/>
      <c r="C70" s="35"/>
      <c r="D70" s="2"/>
      <c r="E70" s="39"/>
      <c r="F70" s="2"/>
      <c r="G70" s="2"/>
      <c r="H70" s="2"/>
      <c r="I70" s="2"/>
      <c r="J70" s="2"/>
      <c r="K70" s="2"/>
      <c r="L70" s="2"/>
      <c r="M70" s="2"/>
      <c r="N70" s="2"/>
      <c r="O70" s="35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ht="15.75" customHeight="1">
      <c r="A71" s="36"/>
      <c r="C71" s="35"/>
      <c r="D71" s="2"/>
      <c r="E71" s="39"/>
      <c r="F71" s="2"/>
      <c r="G71" s="2"/>
      <c r="H71" s="2"/>
      <c r="I71" s="2"/>
      <c r="J71" s="2"/>
      <c r="K71" s="2"/>
      <c r="L71" s="2"/>
      <c r="M71" s="2"/>
      <c r="N71" s="2"/>
      <c r="O71" s="35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ht="15.75" customHeight="1">
      <c r="A72" s="36"/>
      <c r="C72" s="35"/>
      <c r="D72" s="2"/>
      <c r="E72" s="39"/>
      <c r="F72" s="2"/>
      <c r="G72" s="2"/>
      <c r="H72" s="2"/>
      <c r="I72" s="2"/>
      <c r="J72" s="2"/>
      <c r="K72" s="2"/>
      <c r="L72" s="2"/>
      <c r="M72" s="2"/>
      <c r="N72" s="2"/>
      <c r="O72" s="35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ht="15.75" customHeight="1">
      <c r="A73" s="36"/>
      <c r="C73" s="35"/>
      <c r="D73" s="2"/>
      <c r="E73" s="39"/>
      <c r="F73" s="2"/>
      <c r="G73" s="2"/>
      <c r="H73" s="2"/>
      <c r="I73" s="2"/>
      <c r="J73" s="2"/>
      <c r="K73" s="2"/>
      <c r="L73" s="2"/>
      <c r="M73" s="2"/>
      <c r="N73" s="2"/>
      <c r="O73" s="35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ht="15.75" customHeight="1">
      <c r="A74" s="36"/>
      <c r="C74" s="35"/>
      <c r="D74" s="2"/>
      <c r="E74" s="39"/>
      <c r="F74" s="2"/>
      <c r="G74" s="2"/>
      <c r="H74" s="2"/>
      <c r="I74" s="2"/>
      <c r="J74" s="2"/>
      <c r="K74" s="2"/>
      <c r="L74" s="2"/>
      <c r="M74" s="2"/>
      <c r="N74" s="2"/>
      <c r="O74" s="35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ht="15.75" customHeight="1">
      <c r="A75" s="36"/>
      <c r="C75" s="35"/>
      <c r="D75" s="2"/>
      <c r="E75" s="39"/>
      <c r="F75" s="2"/>
      <c r="G75" s="2"/>
      <c r="H75" s="2"/>
      <c r="I75" s="2"/>
      <c r="J75" s="2"/>
      <c r="K75" s="2"/>
      <c r="L75" s="2"/>
      <c r="M75" s="2"/>
      <c r="N75" s="2"/>
      <c r="O75" s="35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ht="15.75" customHeight="1">
      <c r="A76" s="36"/>
      <c r="C76" s="35"/>
      <c r="D76" s="2"/>
      <c r="E76" s="39"/>
      <c r="F76" s="2"/>
      <c r="G76" s="2"/>
      <c r="H76" s="2"/>
      <c r="I76" s="2"/>
      <c r="J76" s="2"/>
      <c r="K76" s="2"/>
      <c r="L76" s="2"/>
      <c r="M76" s="2"/>
      <c r="N76" s="2"/>
      <c r="O76" s="35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ht="15.75" customHeight="1">
      <c r="A77" s="36"/>
      <c r="C77" s="35"/>
      <c r="D77" s="2"/>
      <c r="E77" s="39"/>
      <c r="F77" s="2"/>
      <c r="G77" s="2"/>
      <c r="H77" s="2"/>
      <c r="I77" s="2"/>
      <c r="J77" s="2"/>
      <c r="K77" s="2"/>
      <c r="L77" s="2"/>
      <c r="M77" s="2"/>
      <c r="N77" s="2"/>
      <c r="O77" s="35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ht="15.75" customHeight="1">
      <c r="A78" s="36"/>
      <c r="C78" s="35"/>
      <c r="D78" s="2"/>
      <c r="E78" s="39"/>
      <c r="F78" s="2"/>
      <c r="G78" s="2"/>
      <c r="H78" s="2"/>
      <c r="I78" s="2"/>
      <c r="J78" s="2"/>
      <c r="K78" s="2"/>
      <c r="L78" s="2"/>
      <c r="M78" s="2"/>
      <c r="N78" s="2"/>
      <c r="O78" s="35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ht="15.75" customHeight="1">
      <c r="A79" s="36"/>
      <c r="C79" s="35"/>
      <c r="D79" s="2"/>
      <c r="E79" s="39"/>
      <c r="F79" s="2"/>
      <c r="G79" s="2"/>
      <c r="H79" s="2"/>
      <c r="I79" s="2"/>
      <c r="J79" s="2"/>
      <c r="K79" s="2"/>
      <c r="L79" s="2"/>
      <c r="M79" s="2"/>
      <c r="N79" s="2"/>
      <c r="O79" s="35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ht="15.75" customHeight="1">
      <c r="A80" s="36"/>
      <c r="C80" s="35"/>
      <c r="D80" s="2"/>
      <c r="E80" s="39"/>
      <c r="F80" s="2"/>
      <c r="G80" s="2"/>
      <c r="H80" s="2"/>
      <c r="I80" s="2"/>
      <c r="J80" s="2"/>
      <c r="K80" s="2"/>
      <c r="L80" s="2"/>
      <c r="M80" s="2"/>
      <c r="N80" s="2"/>
      <c r="O80" s="35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ht="15.75" customHeight="1">
      <c r="A81" s="36"/>
      <c r="C81" s="35"/>
      <c r="D81" s="2"/>
      <c r="E81" s="39"/>
      <c r="F81" s="2"/>
      <c r="G81" s="2"/>
      <c r="H81" s="2"/>
      <c r="I81" s="2"/>
      <c r="J81" s="2"/>
      <c r="K81" s="2"/>
      <c r="L81" s="2"/>
      <c r="M81" s="2"/>
      <c r="N81" s="2"/>
      <c r="O81" s="35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ht="15.75" customHeight="1">
      <c r="A82" s="36"/>
      <c r="C82" s="35"/>
      <c r="D82" s="2"/>
      <c r="E82" s="39"/>
      <c r="F82" s="2"/>
      <c r="G82" s="2"/>
      <c r="H82" s="2"/>
      <c r="I82" s="2"/>
      <c r="J82" s="2"/>
      <c r="K82" s="2"/>
      <c r="L82" s="2"/>
      <c r="M82" s="2"/>
      <c r="N82" s="2"/>
      <c r="O82" s="35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ht="15.75" customHeight="1">
      <c r="A83" s="36"/>
      <c r="C83" s="35"/>
      <c r="D83" s="2"/>
      <c r="E83" s="39"/>
      <c r="F83" s="2"/>
      <c r="G83" s="2"/>
      <c r="H83" s="2"/>
      <c r="I83" s="2"/>
      <c r="J83" s="2"/>
      <c r="K83" s="2"/>
      <c r="L83" s="2"/>
      <c r="M83" s="2"/>
      <c r="N83" s="2"/>
      <c r="O83" s="35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ht="15.75" customHeight="1">
      <c r="A84" s="36"/>
      <c r="C84" s="35"/>
      <c r="D84" s="2"/>
      <c r="E84" s="39"/>
      <c r="F84" s="2"/>
      <c r="G84" s="2"/>
      <c r="H84" s="2"/>
      <c r="I84" s="2"/>
      <c r="J84" s="2"/>
      <c r="K84" s="2"/>
      <c r="L84" s="2"/>
      <c r="M84" s="2"/>
      <c r="N84" s="2"/>
      <c r="O84" s="35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ht="15.75" customHeight="1">
      <c r="A85" s="36"/>
      <c r="C85" s="35"/>
      <c r="D85" s="2"/>
      <c r="E85" s="39"/>
      <c r="F85" s="2"/>
      <c r="G85" s="2"/>
      <c r="H85" s="2"/>
      <c r="I85" s="2"/>
      <c r="J85" s="2"/>
      <c r="K85" s="2"/>
      <c r="L85" s="2"/>
      <c r="M85" s="2"/>
      <c r="N85" s="2"/>
      <c r="O85" s="35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ht="15.75" customHeight="1">
      <c r="A86" s="36"/>
      <c r="C86" s="35"/>
      <c r="D86" s="2"/>
      <c r="E86" s="39"/>
      <c r="F86" s="2"/>
      <c r="G86" s="2"/>
      <c r="H86" s="2"/>
      <c r="I86" s="2"/>
      <c r="J86" s="2"/>
      <c r="K86" s="2"/>
      <c r="L86" s="2"/>
      <c r="M86" s="2"/>
      <c r="N86" s="2"/>
      <c r="O86" s="35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ht="15.75" customHeight="1">
      <c r="A87" s="36"/>
      <c r="C87" s="35"/>
      <c r="D87" s="2"/>
      <c r="E87" s="39"/>
      <c r="F87" s="2"/>
      <c r="G87" s="2"/>
      <c r="H87" s="2"/>
      <c r="I87" s="2"/>
      <c r="J87" s="2"/>
      <c r="K87" s="2"/>
      <c r="L87" s="2"/>
      <c r="M87" s="2"/>
      <c r="N87" s="2"/>
      <c r="O87" s="35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ht="15.75" customHeight="1">
      <c r="A88" s="36"/>
      <c r="C88" s="35"/>
      <c r="D88" s="2"/>
      <c r="E88" s="39"/>
      <c r="F88" s="2"/>
      <c r="G88" s="2"/>
      <c r="H88" s="2"/>
      <c r="I88" s="2"/>
      <c r="J88" s="2"/>
      <c r="K88" s="2"/>
      <c r="L88" s="2"/>
      <c r="M88" s="2"/>
      <c r="N88" s="2"/>
      <c r="O88" s="35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ht="15.75" customHeight="1">
      <c r="A89" s="36"/>
      <c r="C89" s="35"/>
      <c r="D89" s="2"/>
      <c r="E89" s="39"/>
      <c r="F89" s="2"/>
      <c r="G89" s="2"/>
      <c r="H89" s="2"/>
      <c r="I89" s="2"/>
      <c r="J89" s="2"/>
      <c r="K89" s="2"/>
      <c r="L89" s="2"/>
      <c r="M89" s="2"/>
      <c r="N89" s="2"/>
      <c r="O89" s="35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ht="15.75" customHeight="1">
      <c r="A90" s="36"/>
      <c r="C90" s="35"/>
      <c r="D90" s="2"/>
      <c r="E90" s="39"/>
      <c r="F90" s="2"/>
      <c r="G90" s="2"/>
      <c r="H90" s="2"/>
      <c r="I90" s="2"/>
      <c r="J90" s="2"/>
      <c r="K90" s="2"/>
      <c r="L90" s="2"/>
      <c r="M90" s="2"/>
      <c r="N90" s="2"/>
      <c r="O90" s="35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ht="15.75" customHeight="1">
      <c r="A91" s="36"/>
      <c r="C91" s="35"/>
      <c r="D91" s="2"/>
      <c r="E91" s="39"/>
      <c r="F91" s="2"/>
      <c r="G91" s="2"/>
      <c r="H91" s="2"/>
      <c r="I91" s="2"/>
      <c r="J91" s="2"/>
      <c r="K91" s="2"/>
      <c r="L91" s="2"/>
      <c r="M91" s="2"/>
      <c r="N91" s="2"/>
      <c r="O91" s="35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ht="15.75" customHeight="1">
      <c r="A92" s="36"/>
      <c r="C92" s="35"/>
      <c r="D92" s="2"/>
      <c r="E92" s="39"/>
      <c r="F92" s="2"/>
      <c r="G92" s="2"/>
      <c r="H92" s="2"/>
      <c r="I92" s="2"/>
      <c r="J92" s="2"/>
      <c r="K92" s="2"/>
      <c r="L92" s="2"/>
      <c r="M92" s="2"/>
      <c r="N92" s="2"/>
      <c r="O92" s="35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ht="15.75" customHeight="1">
      <c r="A93" s="36"/>
      <c r="C93" s="35"/>
      <c r="D93" s="2"/>
      <c r="E93" s="39"/>
      <c r="F93" s="2"/>
      <c r="G93" s="2"/>
      <c r="H93" s="2"/>
      <c r="I93" s="2"/>
      <c r="J93" s="2"/>
      <c r="K93" s="2"/>
      <c r="L93" s="2"/>
      <c r="M93" s="2"/>
      <c r="N93" s="2"/>
      <c r="O93" s="35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ht="15.75" customHeight="1">
      <c r="A94" s="36"/>
      <c r="C94" s="35"/>
      <c r="D94" s="2"/>
      <c r="E94" s="39"/>
      <c r="F94" s="2"/>
      <c r="G94" s="2"/>
      <c r="H94" s="2"/>
      <c r="I94" s="2"/>
      <c r="J94" s="2"/>
      <c r="K94" s="2"/>
      <c r="L94" s="2"/>
      <c r="M94" s="2"/>
      <c r="N94" s="2"/>
      <c r="O94" s="35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ht="15.75" customHeight="1">
      <c r="A95" s="36"/>
      <c r="C95" s="35"/>
      <c r="D95" s="2"/>
      <c r="E95" s="39"/>
      <c r="F95" s="2"/>
      <c r="G95" s="2"/>
      <c r="H95" s="2"/>
      <c r="I95" s="2"/>
      <c r="J95" s="2"/>
      <c r="K95" s="2"/>
      <c r="L95" s="2"/>
      <c r="M95" s="2"/>
      <c r="N95" s="2"/>
      <c r="O95" s="35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ht="15.75" customHeight="1">
      <c r="A96" s="36"/>
      <c r="C96" s="35"/>
      <c r="D96" s="2"/>
      <c r="E96" s="39"/>
      <c r="F96" s="2"/>
      <c r="G96" s="2"/>
      <c r="H96" s="2"/>
      <c r="I96" s="2"/>
      <c r="J96" s="2"/>
      <c r="K96" s="2"/>
      <c r="L96" s="2"/>
      <c r="M96" s="2"/>
      <c r="N96" s="2"/>
      <c r="O96" s="35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ht="15.75" customHeight="1">
      <c r="A97" s="36"/>
      <c r="C97" s="35"/>
      <c r="D97" s="2"/>
      <c r="E97" s="39"/>
      <c r="F97" s="2"/>
      <c r="G97" s="2"/>
      <c r="H97" s="2"/>
      <c r="I97" s="2"/>
      <c r="J97" s="2"/>
      <c r="K97" s="2"/>
      <c r="L97" s="2"/>
      <c r="M97" s="2"/>
      <c r="N97" s="2"/>
      <c r="O97" s="35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ht="15.75" customHeight="1">
      <c r="A98" s="36"/>
      <c r="C98" s="35"/>
      <c r="D98" s="2"/>
      <c r="E98" s="39"/>
      <c r="F98" s="2"/>
      <c r="G98" s="2"/>
      <c r="H98" s="2"/>
      <c r="I98" s="2"/>
      <c r="J98" s="2"/>
      <c r="K98" s="2"/>
      <c r="L98" s="2"/>
      <c r="M98" s="2"/>
      <c r="N98" s="2"/>
      <c r="O98" s="35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ht="15.75" customHeight="1">
      <c r="A99" s="36"/>
      <c r="C99" s="35"/>
      <c r="D99" s="2"/>
      <c r="E99" s="39"/>
      <c r="F99" s="2"/>
      <c r="G99" s="2"/>
      <c r="H99" s="2"/>
      <c r="I99" s="2"/>
      <c r="J99" s="2"/>
      <c r="K99" s="2"/>
      <c r="L99" s="2"/>
      <c r="M99" s="2"/>
      <c r="N99" s="2"/>
      <c r="O99" s="35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ht="15.75" customHeight="1">
      <c r="A100" s="36"/>
      <c r="C100" s="35"/>
      <c r="D100" s="2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35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ht="15.75" customHeight="1">
      <c r="A101" s="36"/>
      <c r="C101" s="35"/>
      <c r="D101" s="2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35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ht="15.75" customHeight="1">
      <c r="A102" s="36"/>
      <c r="C102" s="35"/>
      <c r="D102" s="2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35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ht="15.75" customHeight="1">
      <c r="A103" s="36"/>
      <c r="C103" s="35"/>
      <c r="D103" s="2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35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35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35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35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35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35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35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35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35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35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35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35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35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35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35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35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35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35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35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35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35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35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35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35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35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35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35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35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35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2"/>
      <c r="J132" s="2"/>
      <c r="K132" s="2"/>
      <c r="L132" s="2"/>
      <c r="M132" s="2"/>
      <c r="N132" s="2"/>
      <c r="O132" s="35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2"/>
      <c r="J133" s="2"/>
      <c r="K133" s="2"/>
      <c r="L133" s="2"/>
      <c r="M133" s="2"/>
      <c r="N133" s="2"/>
      <c r="O133" s="35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2"/>
      <c r="J134" s="2"/>
      <c r="K134" s="2"/>
      <c r="L134" s="2"/>
      <c r="M134" s="2"/>
      <c r="N134" s="2"/>
      <c r="O134" s="35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2"/>
      <c r="J135" s="2"/>
      <c r="K135" s="2"/>
      <c r="L135" s="2"/>
      <c r="M135" s="2"/>
      <c r="N135" s="2"/>
      <c r="O135" s="35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2"/>
      <c r="J136" s="2"/>
      <c r="K136" s="2"/>
      <c r="L136" s="2"/>
      <c r="M136" s="2"/>
      <c r="N136" s="2"/>
      <c r="O136" s="35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2"/>
      <c r="J137" s="2"/>
      <c r="K137" s="2"/>
      <c r="L137" s="2"/>
      <c r="M137" s="2"/>
      <c r="N137" s="2"/>
      <c r="O137" s="35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2"/>
      <c r="J138" s="2"/>
      <c r="K138" s="2"/>
      <c r="L138" s="2"/>
      <c r="M138" s="2"/>
      <c r="N138" s="2"/>
      <c r="O138" s="35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2"/>
      <c r="J139" s="2"/>
      <c r="K139" s="2"/>
      <c r="L139" s="2"/>
      <c r="M139" s="2"/>
      <c r="N139" s="2"/>
      <c r="O139" s="35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2"/>
      <c r="J140" s="2"/>
      <c r="K140" s="2"/>
      <c r="L140" s="2"/>
      <c r="M140" s="2"/>
      <c r="N140" s="2"/>
      <c r="O140" s="35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2"/>
      <c r="J141" s="2"/>
      <c r="K141" s="2"/>
      <c r="L141" s="2"/>
      <c r="M141" s="2"/>
      <c r="N141" s="2"/>
      <c r="O141" s="35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2"/>
      <c r="J142" s="2"/>
      <c r="K142" s="2"/>
      <c r="L142" s="2"/>
      <c r="M142" s="2"/>
      <c r="N142" s="2"/>
      <c r="O142" s="35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2"/>
      <c r="J143" s="2"/>
      <c r="K143" s="2"/>
      <c r="L143" s="2"/>
      <c r="M143" s="2"/>
      <c r="N143" s="2"/>
      <c r="O143" s="35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2"/>
      <c r="J144" s="2"/>
      <c r="K144" s="2"/>
      <c r="L144" s="2"/>
      <c r="M144" s="2"/>
      <c r="N144" s="2"/>
      <c r="O144" s="35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2"/>
      <c r="J145" s="2"/>
      <c r="K145" s="2"/>
      <c r="L145" s="2"/>
      <c r="M145" s="2"/>
      <c r="N145" s="2"/>
      <c r="O145" s="35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2"/>
      <c r="J146" s="2"/>
      <c r="K146" s="2"/>
      <c r="L146" s="2"/>
      <c r="M146" s="2"/>
      <c r="N146" s="2"/>
      <c r="O146" s="35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2"/>
      <c r="J147" s="2"/>
      <c r="K147" s="2"/>
      <c r="L147" s="2"/>
      <c r="M147" s="2"/>
      <c r="N147" s="2"/>
      <c r="O147" s="35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2"/>
      <c r="J148" s="2"/>
      <c r="K148" s="2"/>
      <c r="L148" s="2"/>
      <c r="M148" s="2"/>
      <c r="N148" s="2"/>
      <c r="O148" s="35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2"/>
      <c r="J149" s="2"/>
      <c r="K149" s="2"/>
      <c r="L149" s="2"/>
      <c r="M149" s="2"/>
      <c r="N149" s="2"/>
      <c r="O149" s="35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2"/>
      <c r="J150" s="2"/>
      <c r="K150" s="2"/>
      <c r="L150" s="2"/>
      <c r="M150" s="2"/>
      <c r="N150" s="2"/>
      <c r="O150" s="35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2"/>
      <c r="J151" s="2"/>
      <c r="K151" s="2"/>
      <c r="L151" s="2"/>
      <c r="M151" s="2"/>
      <c r="N151" s="2"/>
      <c r="O151" s="35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2"/>
      <c r="J152" s="2"/>
      <c r="K152" s="2"/>
      <c r="L152" s="2"/>
      <c r="M152" s="2"/>
      <c r="N152" s="2"/>
      <c r="O152" s="35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2"/>
      <c r="J153" s="2"/>
      <c r="K153" s="2"/>
      <c r="L153" s="2"/>
      <c r="M153" s="2"/>
      <c r="N153" s="2"/>
      <c r="O153" s="35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2"/>
      <c r="J154" s="2"/>
      <c r="K154" s="2"/>
      <c r="L154" s="2"/>
      <c r="M154" s="2"/>
      <c r="N154" s="2"/>
      <c r="O154" s="35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2"/>
      <c r="J155" s="2"/>
      <c r="K155" s="2"/>
      <c r="L155" s="2"/>
      <c r="M155" s="2"/>
      <c r="N155" s="2"/>
      <c r="O155" s="35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2"/>
      <c r="J156" s="2"/>
      <c r="K156" s="2"/>
      <c r="L156" s="2"/>
      <c r="M156" s="2"/>
      <c r="N156" s="2"/>
      <c r="O156" s="35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2"/>
      <c r="J157" s="2"/>
      <c r="K157" s="2"/>
      <c r="L157" s="2"/>
      <c r="M157" s="2"/>
      <c r="N157" s="2"/>
      <c r="O157" s="35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2"/>
      <c r="J158" s="2"/>
      <c r="K158" s="2"/>
      <c r="L158" s="2"/>
      <c r="M158" s="2"/>
      <c r="N158" s="2"/>
      <c r="O158" s="35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2"/>
      <c r="J159" s="2"/>
      <c r="K159" s="2"/>
      <c r="L159" s="2"/>
      <c r="M159" s="2"/>
      <c r="N159" s="2"/>
      <c r="O159" s="35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2"/>
      <c r="J160" s="2"/>
      <c r="K160" s="2"/>
      <c r="L160" s="2"/>
      <c r="M160" s="2"/>
      <c r="N160" s="2"/>
      <c r="O160" s="35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2"/>
      <c r="J161" s="2"/>
      <c r="K161" s="2"/>
      <c r="L161" s="2"/>
      <c r="M161" s="2"/>
      <c r="N161" s="2"/>
      <c r="O161" s="35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2"/>
      <c r="J162" s="2"/>
      <c r="K162" s="2"/>
      <c r="L162" s="2"/>
      <c r="M162" s="2"/>
      <c r="N162" s="2"/>
      <c r="O162" s="35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2"/>
      <c r="J163" s="2"/>
      <c r="K163" s="2"/>
      <c r="L163" s="2"/>
      <c r="M163" s="2"/>
      <c r="N163" s="2"/>
      <c r="O163" s="35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2"/>
      <c r="J164" s="2"/>
      <c r="K164" s="2"/>
      <c r="L164" s="2"/>
      <c r="M164" s="2"/>
      <c r="N164" s="2"/>
      <c r="O164" s="35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2"/>
      <c r="J165" s="2"/>
      <c r="K165" s="2"/>
      <c r="L165" s="2"/>
      <c r="M165" s="2"/>
      <c r="N165" s="2"/>
      <c r="O165" s="35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2"/>
      <c r="J166" s="2"/>
      <c r="K166" s="2"/>
      <c r="L166" s="2"/>
      <c r="M166" s="2"/>
      <c r="N166" s="2"/>
      <c r="O166" s="35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2"/>
      <c r="J167" s="2"/>
      <c r="K167" s="2"/>
      <c r="L167" s="2"/>
      <c r="M167" s="2"/>
      <c r="N167" s="2"/>
      <c r="O167" s="35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2"/>
      <c r="J168" s="2"/>
      <c r="K168" s="2"/>
      <c r="L168" s="2"/>
      <c r="M168" s="2"/>
      <c r="N168" s="2"/>
      <c r="O168" s="35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2"/>
      <c r="J169" s="2"/>
      <c r="K169" s="2"/>
      <c r="L169" s="2"/>
      <c r="M169" s="2"/>
      <c r="N169" s="2"/>
      <c r="O169" s="35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2"/>
      <c r="J170" s="2"/>
      <c r="K170" s="2"/>
      <c r="L170" s="2"/>
      <c r="M170" s="2"/>
      <c r="N170" s="2"/>
      <c r="O170" s="35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2"/>
      <c r="J171" s="2"/>
      <c r="K171" s="2"/>
      <c r="L171" s="2"/>
      <c r="M171" s="2"/>
      <c r="N171" s="2"/>
      <c r="O171" s="35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2"/>
      <c r="J172" s="2"/>
      <c r="K172" s="2"/>
      <c r="L172" s="2"/>
      <c r="M172" s="2"/>
      <c r="N172" s="2"/>
      <c r="O172" s="35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35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35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2"/>
      <c r="J175" s="2"/>
      <c r="K175" s="2"/>
      <c r="L175" s="2"/>
      <c r="M175" s="2"/>
      <c r="N175" s="2"/>
      <c r="O175" s="35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2"/>
      <c r="J176" s="2"/>
      <c r="K176" s="2"/>
      <c r="L176" s="2"/>
      <c r="M176" s="2"/>
      <c r="N176" s="2"/>
      <c r="O176" s="35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2"/>
      <c r="J177" s="2"/>
      <c r="K177" s="2"/>
      <c r="L177" s="2"/>
      <c r="M177" s="2"/>
      <c r="N177" s="2"/>
      <c r="O177" s="35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2"/>
      <c r="J178" s="2"/>
      <c r="K178" s="2"/>
      <c r="L178" s="2"/>
      <c r="M178" s="2"/>
      <c r="N178" s="2"/>
      <c r="O178" s="35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35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35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35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35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35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35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35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35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35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2"/>
      <c r="J188" s="2"/>
      <c r="K188" s="2"/>
      <c r="L188" s="2"/>
      <c r="M188" s="2"/>
      <c r="N188" s="2"/>
      <c r="O188" s="35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2"/>
      <c r="J189" s="2"/>
      <c r="K189" s="2"/>
      <c r="L189" s="2"/>
      <c r="M189" s="2"/>
      <c r="N189" s="2"/>
      <c r="O189" s="35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35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35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35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2"/>
      <c r="J194" s="2"/>
      <c r="K194" s="2"/>
      <c r="L194" s="2"/>
      <c r="M194" s="2"/>
      <c r="N194" s="2"/>
      <c r="O194" s="35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2"/>
      <c r="J195" s="2"/>
      <c r="K195" s="2"/>
      <c r="L195" s="2"/>
      <c r="M195" s="2"/>
      <c r="N195" s="2"/>
      <c r="O195" s="35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2"/>
      <c r="J196" s="2"/>
      <c r="K196" s="2"/>
      <c r="L196" s="2"/>
      <c r="M196" s="2"/>
      <c r="N196" s="2"/>
      <c r="O196" s="35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35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35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35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2"/>
      <c r="J200" s="2"/>
      <c r="K200" s="2"/>
      <c r="L200" s="2"/>
      <c r="M200" s="2"/>
      <c r="N200" s="2"/>
      <c r="O200" s="35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2"/>
      <c r="J201" s="2"/>
      <c r="K201" s="2"/>
      <c r="L201" s="2"/>
      <c r="M201" s="2"/>
      <c r="N201" s="2"/>
      <c r="O201" s="35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2"/>
      <c r="J202" s="2"/>
      <c r="K202" s="2"/>
      <c r="L202" s="2"/>
      <c r="M202" s="2"/>
      <c r="N202" s="2"/>
      <c r="O202" s="35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2"/>
      <c r="J203" s="2"/>
      <c r="K203" s="2"/>
      <c r="L203" s="2"/>
      <c r="M203" s="2"/>
      <c r="N203" s="2"/>
      <c r="O203" s="35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2"/>
      <c r="J204" s="2"/>
      <c r="K204" s="2"/>
      <c r="L204" s="2"/>
      <c r="M204" s="2"/>
      <c r="N204" s="2"/>
      <c r="O204" s="35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2"/>
      <c r="J205" s="2"/>
      <c r="K205" s="2"/>
      <c r="L205" s="2"/>
      <c r="M205" s="2"/>
      <c r="N205" s="2"/>
      <c r="O205" s="35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2"/>
      <c r="J206" s="2"/>
      <c r="K206" s="2"/>
      <c r="L206" s="2"/>
      <c r="M206" s="2"/>
      <c r="N206" s="2"/>
      <c r="O206" s="35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35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35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35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2"/>
      <c r="J210" s="2"/>
      <c r="K210" s="2"/>
      <c r="L210" s="2"/>
      <c r="M210" s="2"/>
      <c r="N210" s="2"/>
      <c r="O210" s="35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2"/>
      <c r="J211" s="2"/>
      <c r="K211" s="2"/>
      <c r="L211" s="2"/>
      <c r="M211" s="2"/>
      <c r="N211" s="2"/>
      <c r="O211" s="35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2"/>
      <c r="J212" s="2"/>
      <c r="K212" s="2"/>
      <c r="L212" s="2"/>
      <c r="M212" s="2"/>
      <c r="N212" s="2"/>
      <c r="O212" s="35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2"/>
      <c r="J213" s="2"/>
      <c r="K213" s="2"/>
      <c r="L213" s="2"/>
      <c r="M213" s="2"/>
      <c r="N213" s="2"/>
      <c r="O213" s="35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2"/>
      <c r="J214" s="2"/>
      <c r="K214" s="2"/>
      <c r="L214" s="2"/>
      <c r="M214" s="2"/>
      <c r="N214" s="2"/>
      <c r="O214" s="35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2"/>
      <c r="J215" s="2"/>
      <c r="K215" s="2"/>
      <c r="L215" s="2"/>
      <c r="M215" s="2"/>
      <c r="N215" s="2"/>
      <c r="O215" s="35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2"/>
      <c r="J216" s="2"/>
      <c r="K216" s="2"/>
      <c r="L216" s="2"/>
      <c r="M216" s="2"/>
      <c r="N216" s="2"/>
      <c r="O216" s="35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2"/>
      <c r="J217" s="2"/>
      <c r="K217" s="2"/>
      <c r="L217" s="2"/>
      <c r="M217" s="2"/>
      <c r="N217" s="2"/>
      <c r="O217" s="35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2"/>
      <c r="J218" s="2"/>
      <c r="K218" s="2"/>
      <c r="L218" s="2"/>
      <c r="M218" s="2"/>
      <c r="N218" s="2"/>
      <c r="O218" s="35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2"/>
      <c r="J219" s="2"/>
      <c r="K219" s="2"/>
      <c r="L219" s="2"/>
      <c r="M219" s="2"/>
      <c r="N219" s="2"/>
      <c r="O219" s="35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2"/>
      <c r="J220" s="2"/>
      <c r="K220" s="2"/>
      <c r="L220" s="2"/>
      <c r="M220" s="2"/>
      <c r="N220" s="2"/>
      <c r="O220" s="35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2"/>
      <c r="J221" s="2"/>
      <c r="K221" s="2"/>
      <c r="L221" s="2"/>
      <c r="M221" s="2"/>
      <c r="N221" s="2"/>
      <c r="O221" s="35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2"/>
      <c r="J222" s="2"/>
      <c r="K222" s="2"/>
      <c r="L222" s="2"/>
      <c r="M222" s="2"/>
      <c r="N222" s="2"/>
      <c r="O222" s="35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2"/>
      <c r="J223" s="2"/>
      <c r="K223" s="2"/>
      <c r="L223" s="2"/>
      <c r="M223" s="2"/>
      <c r="N223" s="2"/>
      <c r="O223" s="35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2"/>
      <c r="J224" s="2"/>
      <c r="K224" s="2"/>
      <c r="L224" s="2"/>
      <c r="M224" s="2"/>
      <c r="N224" s="2"/>
      <c r="O224" s="35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2"/>
      <c r="J225" s="2"/>
      <c r="K225" s="2"/>
      <c r="L225" s="2"/>
      <c r="M225" s="2"/>
      <c r="N225" s="2"/>
      <c r="O225" s="35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2"/>
      <c r="J226" s="2"/>
      <c r="K226" s="2"/>
      <c r="L226" s="2"/>
      <c r="M226" s="2"/>
      <c r="N226" s="2"/>
      <c r="O226" s="35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2"/>
      <c r="J227" s="2"/>
      <c r="K227" s="2"/>
      <c r="L227" s="2"/>
      <c r="M227" s="2"/>
      <c r="N227" s="2"/>
      <c r="O227" s="35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2"/>
      <c r="J228" s="2"/>
      <c r="K228" s="2"/>
      <c r="L228" s="2"/>
      <c r="M228" s="2"/>
      <c r="N228" s="2"/>
      <c r="O228" s="35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2"/>
      <c r="J229" s="2"/>
      <c r="K229" s="2"/>
      <c r="L229" s="2"/>
      <c r="M229" s="2"/>
      <c r="N229" s="2"/>
      <c r="O229" s="35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2"/>
      <c r="J230" s="2"/>
      <c r="K230" s="2"/>
      <c r="L230" s="2"/>
      <c r="M230" s="2"/>
      <c r="N230" s="2"/>
      <c r="O230" s="35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2"/>
      <c r="J231" s="2"/>
      <c r="K231" s="2"/>
      <c r="L231" s="2"/>
      <c r="M231" s="2"/>
      <c r="N231" s="2"/>
      <c r="O231" s="35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2"/>
      <c r="J232" s="2"/>
      <c r="K232" s="2"/>
      <c r="L232" s="2"/>
      <c r="M232" s="2"/>
      <c r="N232" s="2"/>
      <c r="O232" s="35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2"/>
      <c r="J233" s="2"/>
      <c r="K233" s="2"/>
      <c r="L233" s="2"/>
      <c r="M233" s="2"/>
      <c r="N233" s="2"/>
      <c r="O233" s="35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2"/>
      <c r="J234" s="2"/>
      <c r="K234" s="2"/>
      <c r="L234" s="2"/>
      <c r="M234" s="2"/>
      <c r="N234" s="2"/>
      <c r="O234" s="35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2"/>
      <c r="J235" s="2"/>
      <c r="K235" s="2"/>
      <c r="L235" s="2"/>
      <c r="M235" s="2"/>
      <c r="N235" s="2"/>
      <c r="O235" s="35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2"/>
      <c r="J236" s="2"/>
      <c r="K236" s="2"/>
      <c r="L236" s="2"/>
      <c r="M236" s="2"/>
      <c r="N236" s="2"/>
      <c r="O236" s="35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2"/>
      <c r="J237" s="2"/>
      <c r="K237" s="2"/>
      <c r="L237" s="2"/>
      <c r="M237" s="2"/>
      <c r="N237" s="2"/>
      <c r="O237" s="35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2"/>
      <c r="J238" s="2"/>
      <c r="K238" s="2"/>
      <c r="L238" s="2"/>
      <c r="M238" s="2"/>
      <c r="N238" s="2"/>
      <c r="O238" s="35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2"/>
      <c r="J239" s="2"/>
      <c r="K239" s="2"/>
      <c r="L239" s="2"/>
      <c r="M239" s="2"/>
      <c r="N239" s="2"/>
      <c r="O239" s="35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2"/>
      <c r="J240" s="2"/>
      <c r="K240" s="2"/>
      <c r="L240" s="2"/>
      <c r="M240" s="2"/>
      <c r="N240" s="2"/>
      <c r="O240" s="35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2"/>
      <c r="J241" s="2"/>
      <c r="K241" s="2"/>
      <c r="L241" s="2"/>
      <c r="M241" s="2"/>
      <c r="N241" s="2"/>
      <c r="O241" s="35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35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35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35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35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35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35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2"/>
      <c r="J248" s="2"/>
      <c r="K248" s="2"/>
      <c r="L248" s="2"/>
      <c r="M248" s="2"/>
      <c r="N248" s="2"/>
      <c r="O248" s="35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2"/>
      <c r="J249" s="2"/>
      <c r="K249" s="2"/>
      <c r="L249" s="2"/>
      <c r="M249" s="2"/>
      <c r="N249" s="2"/>
      <c r="O249" s="35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2"/>
      <c r="J250" s="2"/>
      <c r="K250" s="2"/>
      <c r="L250" s="2"/>
      <c r="M250" s="2"/>
      <c r="N250" s="2"/>
      <c r="O250" s="35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2"/>
      <c r="J251" s="2"/>
      <c r="K251" s="2"/>
      <c r="L251" s="2"/>
      <c r="M251" s="2"/>
      <c r="N251" s="2"/>
      <c r="O251" s="35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35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35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35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C3:E3"/>
    <mergeCell ref="F3:H3"/>
    <mergeCell ref="I3:K3"/>
    <mergeCell ref="L3:N3"/>
    <mergeCell ref="O3:Q3"/>
    <mergeCell ref="R3:T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hidden="1" min="6" max="6" width="22.43"/>
    <col customWidth="1" hidden="1" min="7" max="7" width="19.43"/>
    <col customWidth="1" hidden="1" min="8" max="8" width="19.29"/>
    <col customWidth="1" hidden="1" min="9" max="9" width="32.86"/>
    <col customWidth="1" hidden="1" min="10" max="10" width="19.43"/>
    <col customWidth="1" hidden="1" min="11" max="11" width="19.29"/>
    <col customWidth="1" min="12" max="12" width="32.86"/>
    <col customWidth="1" min="13" max="14" width="19.29"/>
    <col customWidth="1" hidden="1" min="15" max="15" width="31.71"/>
    <col customWidth="1" hidden="1" min="16" max="16" width="28.14"/>
    <col customWidth="1" hidden="1" min="17" max="17" width="27.86"/>
    <col customWidth="1" min="18" max="18" width="32.86"/>
    <col customWidth="1" min="19" max="20" width="19.29"/>
    <col customWidth="1" min="21" max="28" width="13.57"/>
  </cols>
  <sheetData>
    <row r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>
      <c r="A2" s="5" t="s">
        <v>461</v>
      </c>
      <c r="D2" s="5" t="s">
        <v>1</v>
      </c>
      <c r="E2" s="1">
        <v>100000.0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>
      <c r="A3" s="7"/>
      <c r="B3" s="7"/>
      <c r="C3" s="8" t="s">
        <v>2</v>
      </c>
      <c r="D3" s="9"/>
      <c r="E3" s="10"/>
      <c r="F3" s="11" t="s">
        <v>3</v>
      </c>
      <c r="G3" s="9"/>
      <c r="H3" s="10"/>
      <c r="I3" s="12" t="s">
        <v>4</v>
      </c>
      <c r="J3" s="9"/>
      <c r="K3" s="10"/>
      <c r="L3" s="13" t="s">
        <v>3</v>
      </c>
      <c r="M3" s="9"/>
      <c r="N3" s="10"/>
      <c r="O3" s="14" t="s">
        <v>5</v>
      </c>
      <c r="P3" s="9"/>
      <c r="Q3" s="10"/>
      <c r="R3" s="15" t="s">
        <v>6</v>
      </c>
      <c r="S3" s="9"/>
      <c r="T3" s="10"/>
      <c r="U3" s="3"/>
      <c r="V3" s="3"/>
      <c r="W3" s="3"/>
      <c r="X3" s="3"/>
      <c r="Y3" s="3"/>
      <c r="Z3" s="3"/>
      <c r="AA3" s="3"/>
      <c r="AB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8" t="s">
        <v>13</v>
      </c>
      <c r="H4" s="18" t="s">
        <v>14</v>
      </c>
      <c r="I4" s="19" t="s">
        <v>12</v>
      </c>
      <c r="J4" s="19" t="s">
        <v>13</v>
      </c>
      <c r="K4" s="19" t="s">
        <v>15</v>
      </c>
      <c r="L4" s="20" t="s">
        <v>12</v>
      </c>
      <c r="M4" s="20" t="s">
        <v>13</v>
      </c>
      <c r="N4" s="20" t="s">
        <v>16</v>
      </c>
      <c r="O4" s="21" t="s">
        <v>17</v>
      </c>
      <c r="P4" s="21" t="s">
        <v>18</v>
      </c>
      <c r="Q4" s="22" t="s">
        <v>19</v>
      </c>
      <c r="R4" s="23" t="s">
        <v>20</v>
      </c>
      <c r="S4" s="23" t="s">
        <v>21</v>
      </c>
      <c r="T4" s="23" t="s">
        <v>22</v>
      </c>
      <c r="U4" s="3"/>
      <c r="V4" s="3"/>
      <c r="W4" s="3"/>
      <c r="X4" s="3"/>
      <c r="Y4" s="3"/>
      <c r="Z4" s="3"/>
      <c r="AA4" s="3"/>
      <c r="AB4" s="6"/>
    </row>
    <row r="5" ht="30.0" customHeight="1">
      <c r="A5" s="1">
        <v>1.0</v>
      </c>
      <c r="B5" s="24" t="s">
        <v>462</v>
      </c>
      <c r="C5" s="25" t="s">
        <v>463</v>
      </c>
      <c r="D5" s="26">
        <v>0.0312</v>
      </c>
      <c r="E5" s="26">
        <v>0.0631122589111328</v>
      </c>
      <c r="F5" s="27"/>
      <c r="G5" s="28"/>
      <c r="H5" s="28"/>
      <c r="I5" s="29"/>
      <c r="J5" s="28"/>
      <c r="K5" s="28"/>
      <c r="L5" s="29" t="s">
        <v>464</v>
      </c>
      <c r="M5" s="28">
        <v>0.0312</v>
      </c>
      <c r="N5" s="28">
        <v>0.0282225608825683</v>
      </c>
      <c r="O5" s="30"/>
      <c r="P5" s="31"/>
      <c r="Q5" s="31"/>
      <c r="R5" s="29" t="s">
        <v>465</v>
      </c>
      <c r="S5" s="28">
        <v>0.03125</v>
      </c>
      <c r="T5" s="28">
        <v>0.00499367713928222</v>
      </c>
      <c r="U5" s="3">
        <f t="shared" ref="U5:U54" si="1">E5/T5</f>
        <v>12.63843399</v>
      </c>
      <c r="V5" s="3"/>
      <c r="W5" s="3"/>
      <c r="X5" s="3"/>
      <c r="Y5" s="3"/>
      <c r="Z5" s="3"/>
      <c r="AA5" s="3"/>
      <c r="AB5" s="6"/>
    </row>
    <row r="6" ht="30.0" customHeight="1">
      <c r="A6" s="1">
        <v>2.0</v>
      </c>
      <c r="B6" s="24" t="s">
        <v>466</v>
      </c>
      <c r="C6" s="25" t="s">
        <v>467</v>
      </c>
      <c r="D6" s="26">
        <v>0.4375</v>
      </c>
      <c r="E6" s="26">
        <v>0.0640029907226562</v>
      </c>
      <c r="F6" s="27"/>
      <c r="G6" s="28"/>
      <c r="H6" s="28"/>
      <c r="I6" s="29"/>
      <c r="J6" s="28"/>
      <c r="K6" s="28"/>
      <c r="L6" s="29" t="s">
        <v>468</v>
      </c>
      <c r="M6" s="28">
        <v>0.4375</v>
      </c>
      <c r="N6" s="28">
        <v>0.0179896354675292</v>
      </c>
      <c r="O6" s="32"/>
      <c r="P6" s="31"/>
      <c r="Q6" s="31"/>
      <c r="R6" s="29" t="s">
        <v>469</v>
      </c>
      <c r="S6" s="28">
        <v>0.4375</v>
      </c>
      <c r="T6" s="28">
        <v>0.00499224662780761</v>
      </c>
      <c r="U6" s="3">
        <f t="shared" si="1"/>
        <v>12.82047853</v>
      </c>
      <c r="V6" s="3"/>
      <c r="W6" s="3"/>
      <c r="X6" s="3"/>
      <c r="Y6" s="3"/>
      <c r="Z6" s="3"/>
      <c r="AA6" s="3"/>
      <c r="AB6" s="6"/>
    </row>
    <row r="7" ht="30.0" customHeight="1">
      <c r="A7" s="1">
        <v>3.0</v>
      </c>
      <c r="B7" s="24" t="s">
        <v>470</v>
      </c>
      <c r="C7" s="25" t="s">
        <v>471</v>
      </c>
      <c r="D7" s="26">
        <v>0.0</v>
      </c>
      <c r="E7" s="26">
        <v>0.0556271076202392</v>
      </c>
      <c r="F7" s="27"/>
      <c r="G7" s="28"/>
      <c r="H7" s="28"/>
      <c r="I7" s="29"/>
      <c r="J7" s="28"/>
      <c r="K7" s="28"/>
      <c r="L7" s="29" t="s">
        <v>472</v>
      </c>
      <c r="M7" s="28">
        <v>0.0</v>
      </c>
      <c r="N7" s="28">
        <v>0.00500464439392089</v>
      </c>
      <c r="O7" s="32"/>
      <c r="P7" s="31"/>
      <c r="Q7" s="31"/>
      <c r="R7" s="29" t="s">
        <v>473</v>
      </c>
      <c r="S7" s="28">
        <v>0.0</v>
      </c>
      <c r="T7" s="28">
        <v>0.00499176979064941</v>
      </c>
      <c r="U7" s="3">
        <f t="shared" si="1"/>
        <v>11.14376463</v>
      </c>
      <c r="V7" s="3"/>
      <c r="W7" s="3"/>
      <c r="X7" s="3"/>
      <c r="Y7" s="3"/>
      <c r="Z7" s="3"/>
      <c r="AA7" s="3"/>
      <c r="AB7" s="6"/>
    </row>
    <row r="8" ht="30.0" customHeight="1">
      <c r="A8" s="1">
        <v>4.0</v>
      </c>
      <c r="B8" s="24" t="s">
        <v>474</v>
      </c>
      <c r="C8" s="25" t="s">
        <v>475</v>
      </c>
      <c r="D8" s="26">
        <v>0.0156</v>
      </c>
      <c r="E8" s="26">
        <v>0.0565204620361328</v>
      </c>
      <c r="F8" s="27"/>
      <c r="G8" s="28"/>
      <c r="H8" s="28"/>
      <c r="I8" s="29"/>
      <c r="J8" s="28"/>
      <c r="K8" s="28"/>
      <c r="L8" s="29" t="s">
        <v>476</v>
      </c>
      <c r="M8" s="28">
        <v>0.0156</v>
      </c>
      <c r="N8" s="28">
        <v>0.0233306884765625</v>
      </c>
      <c r="O8" s="32"/>
      <c r="P8" s="31"/>
      <c r="Q8" s="31"/>
      <c r="R8" s="29" t="s">
        <v>477</v>
      </c>
      <c r="S8" s="28">
        <v>0.015625</v>
      </c>
      <c r="T8" s="28">
        <v>0.00496506690979003</v>
      </c>
      <c r="U8" s="3">
        <f t="shared" si="1"/>
        <v>11.38362545</v>
      </c>
      <c r="V8" s="3"/>
      <c r="W8" s="3"/>
      <c r="X8" s="3"/>
      <c r="Y8" s="3"/>
      <c r="Z8" s="3"/>
      <c r="AA8" s="3"/>
      <c r="AB8" s="6"/>
    </row>
    <row r="9" ht="30.0" customHeight="1">
      <c r="A9" s="1">
        <v>5.0</v>
      </c>
      <c r="B9" s="24" t="s">
        <v>478</v>
      </c>
      <c r="C9" s="25" t="s">
        <v>479</v>
      </c>
      <c r="D9" s="26">
        <v>0.0156</v>
      </c>
      <c r="E9" s="26">
        <v>0.0603106021881103</v>
      </c>
      <c r="F9" s="27"/>
      <c r="G9" s="28"/>
      <c r="H9" s="28"/>
      <c r="I9" s="29"/>
      <c r="J9" s="28"/>
      <c r="K9" s="28"/>
      <c r="L9" s="29" t="s">
        <v>480</v>
      </c>
      <c r="M9" s="28">
        <v>0.0156</v>
      </c>
      <c r="N9" s="28">
        <v>0.024294376373291</v>
      </c>
      <c r="O9" s="33"/>
      <c r="P9" s="26"/>
      <c r="Q9" s="26"/>
      <c r="R9" s="29" t="s">
        <v>481</v>
      </c>
      <c r="S9" s="28">
        <v>0.015625</v>
      </c>
      <c r="T9" s="28">
        <v>0.00399518013000488</v>
      </c>
      <c r="U9" s="3">
        <f t="shared" si="1"/>
        <v>15.09584054</v>
      </c>
      <c r="V9" s="3"/>
      <c r="W9" s="3"/>
      <c r="X9" s="3"/>
      <c r="Y9" s="3"/>
      <c r="Z9" s="3"/>
      <c r="AA9" s="3"/>
      <c r="AB9" s="6"/>
    </row>
    <row r="10" ht="30.0" customHeight="1">
      <c r="A10" s="1">
        <v>6.0</v>
      </c>
      <c r="B10" s="24" t="s">
        <v>482</v>
      </c>
      <c r="C10" s="42" t="s">
        <v>483</v>
      </c>
      <c r="D10" s="26">
        <v>0.0</v>
      </c>
      <c r="E10" s="26">
        <v>0.0145766735076904</v>
      </c>
      <c r="F10" s="27"/>
      <c r="G10" s="28"/>
      <c r="H10" s="28"/>
      <c r="I10" s="29"/>
      <c r="J10" s="28"/>
      <c r="K10" s="28"/>
      <c r="L10" s="29" t="s">
        <v>484</v>
      </c>
      <c r="M10" s="28">
        <v>0.0</v>
      </c>
      <c r="N10" s="28">
        <v>0.0152609348297119</v>
      </c>
      <c r="O10" s="32"/>
      <c r="P10" s="31"/>
      <c r="Q10" s="31"/>
      <c r="R10" s="43" t="s">
        <v>485</v>
      </c>
      <c r="S10" s="28">
        <v>0.0</v>
      </c>
      <c r="T10" s="28">
        <v>0.00498414039611816</v>
      </c>
      <c r="U10" s="3">
        <f t="shared" si="1"/>
        <v>2.924611337</v>
      </c>
      <c r="V10" s="3"/>
      <c r="W10" s="3"/>
      <c r="X10" s="3"/>
      <c r="Y10" s="3"/>
      <c r="Z10" s="3"/>
      <c r="AA10" s="3"/>
      <c r="AB10" s="6"/>
    </row>
    <row r="11" ht="30.0" customHeight="1">
      <c r="A11" s="1">
        <v>7.0</v>
      </c>
      <c r="B11" s="24" t="s">
        <v>486</v>
      </c>
      <c r="C11" s="25" t="s">
        <v>487</v>
      </c>
      <c r="D11" s="26">
        <v>0.0156</v>
      </c>
      <c r="E11" s="26">
        <v>0.0639624595642089</v>
      </c>
      <c r="F11" s="27"/>
      <c r="G11" s="28"/>
      <c r="H11" s="28"/>
      <c r="I11" s="29"/>
      <c r="J11" s="28"/>
      <c r="K11" s="28"/>
      <c r="L11" s="29" t="s">
        <v>488</v>
      </c>
      <c r="M11" s="28">
        <v>0.0156</v>
      </c>
      <c r="N11" s="28">
        <v>0.0210118293762207</v>
      </c>
      <c r="O11" s="32"/>
      <c r="P11" s="31"/>
      <c r="Q11" s="31"/>
      <c r="R11" s="29" t="s">
        <v>489</v>
      </c>
      <c r="S11" s="28">
        <v>0.015625</v>
      </c>
      <c r="T11" s="28">
        <v>0.00499153137207031</v>
      </c>
      <c r="U11" s="3">
        <f t="shared" si="1"/>
        <v>12.81419564</v>
      </c>
      <c r="V11" s="3"/>
      <c r="W11" s="3"/>
      <c r="X11" s="3"/>
      <c r="Y11" s="3"/>
      <c r="Z11" s="3"/>
      <c r="AA11" s="3"/>
      <c r="AB11" s="6"/>
    </row>
    <row r="12" ht="30.0" customHeight="1">
      <c r="A12" s="1">
        <v>8.0</v>
      </c>
      <c r="B12" s="24" t="s">
        <v>490</v>
      </c>
      <c r="C12" s="25" t="s">
        <v>491</v>
      </c>
      <c r="D12" s="26">
        <v>0.0156</v>
      </c>
      <c r="E12" s="26">
        <v>0.0579698085784912</v>
      </c>
      <c r="F12" s="27"/>
      <c r="G12" s="28"/>
      <c r="H12" s="28"/>
      <c r="I12" s="29"/>
      <c r="J12" s="28"/>
      <c r="K12" s="28"/>
      <c r="L12" s="29" t="s">
        <v>492</v>
      </c>
      <c r="M12" s="28">
        <v>0.0156</v>
      </c>
      <c r="N12" s="28">
        <v>0.0232038497924804</v>
      </c>
      <c r="O12" s="32"/>
      <c r="P12" s="31"/>
      <c r="Q12" s="31"/>
      <c r="R12" s="29" t="s">
        <v>493</v>
      </c>
      <c r="S12" s="28">
        <v>0.015625</v>
      </c>
      <c r="T12" s="28">
        <v>0.00595903396606445</v>
      </c>
      <c r="U12" s="3">
        <f t="shared" si="1"/>
        <v>9.728054733</v>
      </c>
      <c r="V12" s="3"/>
      <c r="W12" s="3"/>
      <c r="X12" s="3"/>
      <c r="Y12" s="3"/>
      <c r="Z12" s="3"/>
      <c r="AA12" s="3"/>
      <c r="AB12" s="6"/>
    </row>
    <row r="13" ht="30.0" customHeight="1">
      <c r="A13" s="1">
        <v>9.0</v>
      </c>
      <c r="B13" s="24" t="s">
        <v>494</v>
      </c>
      <c r="C13" s="25" t="s">
        <v>495</v>
      </c>
      <c r="D13" s="26">
        <v>0.0312</v>
      </c>
      <c r="E13" s="26">
        <v>0.0637617111206054</v>
      </c>
      <c r="F13" s="27"/>
      <c r="G13" s="28"/>
      <c r="H13" s="28"/>
      <c r="I13" s="29"/>
      <c r="J13" s="28"/>
      <c r="K13" s="28"/>
      <c r="L13" s="29" t="s">
        <v>496</v>
      </c>
      <c r="M13" s="28">
        <v>0.0312</v>
      </c>
      <c r="N13" s="28">
        <v>0.0203230381011962</v>
      </c>
      <c r="O13" s="32"/>
      <c r="P13" s="31"/>
      <c r="Q13" s="31"/>
      <c r="R13" s="29" t="s">
        <v>497</v>
      </c>
      <c r="S13" s="28">
        <v>0.03125</v>
      </c>
      <c r="T13" s="28">
        <v>0.00897073745727539</v>
      </c>
      <c r="U13" s="3">
        <f t="shared" si="1"/>
        <v>7.107744645</v>
      </c>
      <c r="V13" s="3"/>
      <c r="W13" s="3"/>
      <c r="X13" s="3"/>
      <c r="Y13" s="3"/>
      <c r="Z13" s="3"/>
      <c r="AA13" s="3"/>
      <c r="AB13" s="6"/>
    </row>
    <row r="14" ht="30.0" customHeight="1">
      <c r="A14" s="1">
        <v>10.0</v>
      </c>
      <c r="B14" s="24" t="s">
        <v>498</v>
      </c>
      <c r="C14" s="25" t="s">
        <v>499</v>
      </c>
      <c r="D14" s="26">
        <v>0.4688</v>
      </c>
      <c r="E14" s="26">
        <v>0.0600838661193847</v>
      </c>
      <c r="F14" s="27"/>
      <c r="G14" s="28"/>
      <c r="H14" s="28"/>
      <c r="I14" s="29"/>
      <c r="J14" s="28"/>
      <c r="K14" s="28"/>
      <c r="L14" s="29" t="s">
        <v>500</v>
      </c>
      <c r="M14" s="28">
        <v>0.4688</v>
      </c>
      <c r="N14" s="28">
        <v>0.0209741592407226</v>
      </c>
      <c r="O14" s="32"/>
      <c r="P14" s="31"/>
      <c r="Q14" s="31"/>
      <c r="R14" s="29" t="s">
        <v>501</v>
      </c>
      <c r="S14" s="28">
        <v>0.46875</v>
      </c>
      <c r="T14" s="28">
        <v>0.00597977638244628</v>
      </c>
      <c r="U14" s="3">
        <f t="shared" si="1"/>
        <v>10.04784498</v>
      </c>
      <c r="V14" s="3"/>
      <c r="W14" s="3"/>
      <c r="X14" s="3"/>
      <c r="Y14" s="3"/>
      <c r="Z14" s="3"/>
      <c r="AA14" s="3"/>
      <c r="AB14" s="6"/>
    </row>
    <row r="15" ht="30.0" customHeight="1">
      <c r="A15" s="1">
        <v>11.0</v>
      </c>
      <c r="B15" s="24" t="s">
        <v>502</v>
      </c>
      <c r="C15" s="25" t="s">
        <v>503</v>
      </c>
      <c r="D15" s="26">
        <v>0.4375</v>
      </c>
      <c r="E15" s="26">
        <v>0.0593464374542236</v>
      </c>
      <c r="F15" s="27"/>
      <c r="G15" s="28"/>
      <c r="H15" s="28"/>
      <c r="I15" s="29"/>
      <c r="J15" s="28"/>
      <c r="K15" s="28"/>
      <c r="L15" s="29" t="s">
        <v>504</v>
      </c>
      <c r="M15" s="28">
        <v>0.4375</v>
      </c>
      <c r="N15" s="28">
        <v>0.0221874713897705</v>
      </c>
      <c r="O15" s="32"/>
      <c r="P15" s="31"/>
      <c r="Q15" s="31"/>
      <c r="R15" s="29" t="s">
        <v>505</v>
      </c>
      <c r="S15" s="28">
        <v>0.4375</v>
      </c>
      <c r="T15" s="28">
        <v>0.00496959686279296</v>
      </c>
      <c r="U15" s="3">
        <f t="shared" si="1"/>
        <v>11.94190175</v>
      </c>
      <c r="V15" s="3"/>
      <c r="W15" s="3"/>
      <c r="X15" s="3"/>
      <c r="Y15" s="3"/>
      <c r="Z15" s="3"/>
      <c r="AA15" s="3"/>
      <c r="AB15" s="6"/>
    </row>
    <row r="16" ht="30.0" customHeight="1">
      <c r="A16" s="1">
        <v>12.0</v>
      </c>
      <c r="B16" s="24" t="s">
        <v>506</v>
      </c>
      <c r="C16" s="25" t="s">
        <v>507</v>
      </c>
      <c r="D16" s="26">
        <v>0.4375</v>
      </c>
      <c r="E16" s="26">
        <v>0.0623910427093505</v>
      </c>
      <c r="F16" s="27"/>
      <c r="G16" s="28"/>
      <c r="H16" s="28"/>
      <c r="I16" s="29"/>
      <c r="J16" s="28"/>
      <c r="K16" s="28"/>
      <c r="L16" s="29" t="s">
        <v>508</v>
      </c>
      <c r="M16" s="28">
        <v>0.4375</v>
      </c>
      <c r="N16" s="28">
        <v>0.0204544067382812</v>
      </c>
      <c r="O16" s="32"/>
      <c r="P16" s="31"/>
      <c r="Q16" s="31"/>
      <c r="R16" s="29" t="s">
        <v>509</v>
      </c>
      <c r="S16" s="28">
        <v>0.4375</v>
      </c>
      <c r="T16" s="28">
        <v>0.00598049163818359</v>
      </c>
      <c r="U16" s="3">
        <f t="shared" si="1"/>
        <v>10.43242705</v>
      </c>
      <c r="V16" s="3"/>
      <c r="W16" s="3"/>
      <c r="X16" s="3"/>
      <c r="Y16" s="3"/>
      <c r="Z16" s="3"/>
      <c r="AA16" s="3"/>
      <c r="AB16" s="6"/>
    </row>
    <row r="17" ht="30.0" customHeight="1">
      <c r="A17" s="1">
        <v>13.0</v>
      </c>
      <c r="B17" s="24" t="s">
        <v>510</v>
      </c>
      <c r="C17" s="25" t="s">
        <v>511</v>
      </c>
      <c r="D17" s="26">
        <v>0.0156</v>
      </c>
      <c r="E17" s="26">
        <v>0.0591418743133544</v>
      </c>
      <c r="F17" s="27"/>
      <c r="G17" s="28"/>
      <c r="H17" s="28"/>
      <c r="I17" s="29"/>
      <c r="J17" s="28"/>
      <c r="K17" s="28"/>
      <c r="L17" s="29" t="s">
        <v>512</v>
      </c>
      <c r="M17" s="28">
        <v>0.0156</v>
      </c>
      <c r="N17" s="28">
        <v>0.0224223136901855</v>
      </c>
      <c r="O17" s="32"/>
      <c r="P17" s="31"/>
      <c r="Q17" s="31"/>
      <c r="R17" s="29" t="s">
        <v>513</v>
      </c>
      <c r="S17" s="28">
        <v>0.015625</v>
      </c>
      <c r="T17" s="28">
        <v>0.00499200820922851</v>
      </c>
      <c r="U17" s="3">
        <f t="shared" si="1"/>
        <v>11.84731111</v>
      </c>
      <c r="V17" s="3"/>
      <c r="W17" s="3"/>
      <c r="X17" s="3"/>
      <c r="Y17" s="3"/>
      <c r="Z17" s="3"/>
      <c r="AA17" s="3"/>
      <c r="AB17" s="6"/>
    </row>
    <row r="18" ht="30.0" customHeight="1">
      <c r="A18" s="1">
        <v>14.0</v>
      </c>
      <c r="B18" s="24" t="s">
        <v>514</v>
      </c>
      <c r="C18" s="25" t="s">
        <v>515</v>
      </c>
      <c r="D18" s="26">
        <v>0.0156</v>
      </c>
      <c r="E18" s="26">
        <v>0.0622625350952148</v>
      </c>
      <c r="F18" s="27"/>
      <c r="G18" s="28"/>
      <c r="H18" s="28"/>
      <c r="I18" s="29"/>
      <c r="J18" s="28"/>
      <c r="K18" s="28"/>
      <c r="L18" s="29" t="s">
        <v>516</v>
      </c>
      <c r="M18" s="28">
        <v>0.0156</v>
      </c>
      <c r="N18" s="28">
        <v>0.0235826969146728</v>
      </c>
      <c r="O18" s="32"/>
      <c r="P18" s="31"/>
      <c r="Q18" s="31"/>
      <c r="R18" s="29" t="s">
        <v>517</v>
      </c>
      <c r="S18" s="28">
        <v>0.015625</v>
      </c>
      <c r="T18" s="28">
        <v>0.00597977638244628</v>
      </c>
      <c r="U18" s="3">
        <f t="shared" si="1"/>
        <v>10.41218452</v>
      </c>
      <c r="V18" s="3"/>
      <c r="W18" s="3"/>
      <c r="X18" s="3"/>
      <c r="Y18" s="3"/>
      <c r="Z18" s="3"/>
      <c r="AA18" s="3"/>
      <c r="AB18" s="6"/>
    </row>
    <row r="19" ht="30.0" customHeight="1">
      <c r="A19" s="1">
        <v>15.0</v>
      </c>
      <c r="B19" s="24" t="s">
        <v>518</v>
      </c>
      <c r="C19" s="25" t="s">
        <v>519</v>
      </c>
      <c r="D19" s="26">
        <v>0.0</v>
      </c>
      <c r="E19" s="26">
        <v>0.0603673458099365</v>
      </c>
      <c r="F19" s="27"/>
      <c r="G19" s="28"/>
      <c r="H19" s="28"/>
      <c r="I19" s="29"/>
      <c r="J19" s="28"/>
      <c r="K19" s="28"/>
      <c r="L19" s="29" t="s">
        <v>520</v>
      </c>
      <c r="M19" s="28">
        <v>0.0</v>
      </c>
      <c r="N19" s="28">
        <v>0.010383129119873</v>
      </c>
      <c r="O19" s="32"/>
      <c r="P19" s="31"/>
      <c r="Q19" s="31"/>
      <c r="R19" s="29" t="s">
        <v>521</v>
      </c>
      <c r="S19" s="28">
        <v>0.0</v>
      </c>
      <c r="T19" s="28">
        <v>0.00499320030212402</v>
      </c>
      <c r="U19" s="3">
        <f t="shared" si="1"/>
        <v>12.08991071</v>
      </c>
      <c r="V19" s="3"/>
      <c r="W19" s="3"/>
      <c r="X19" s="3"/>
      <c r="Y19" s="3"/>
      <c r="Z19" s="3"/>
      <c r="AA19" s="3"/>
      <c r="AB19" s="6"/>
    </row>
    <row r="20" ht="30.0" customHeight="1">
      <c r="A20" s="1">
        <v>16.0</v>
      </c>
      <c r="B20" s="24" t="s">
        <v>522</v>
      </c>
      <c r="C20" s="25" t="s">
        <v>523</v>
      </c>
      <c r="D20" s="26">
        <v>0.0312</v>
      </c>
      <c r="E20" s="26">
        <v>0.0556643009185791</v>
      </c>
      <c r="F20" s="27"/>
      <c r="G20" s="28"/>
      <c r="H20" s="28"/>
      <c r="I20" s="29"/>
      <c r="J20" s="28"/>
      <c r="K20" s="28"/>
      <c r="L20" s="29" t="s">
        <v>524</v>
      </c>
      <c r="M20" s="28">
        <v>0.0312</v>
      </c>
      <c r="N20" s="28">
        <v>0.0212717056274414</v>
      </c>
      <c r="O20" s="32"/>
      <c r="P20" s="31"/>
      <c r="Q20" s="31"/>
      <c r="R20" s="29" t="s">
        <v>525</v>
      </c>
      <c r="S20" s="28">
        <v>0.03125</v>
      </c>
      <c r="T20" s="28">
        <v>0.00397610664367675</v>
      </c>
      <c r="U20" s="3">
        <f t="shared" si="1"/>
        <v>13.99970019</v>
      </c>
      <c r="V20" s="3"/>
      <c r="W20" s="3"/>
      <c r="X20" s="3"/>
      <c r="Y20" s="3"/>
      <c r="Z20" s="3"/>
      <c r="AA20" s="3"/>
      <c r="AB20" s="6"/>
    </row>
    <row r="21" ht="30.0" customHeight="1">
      <c r="A21" s="1">
        <v>17.0</v>
      </c>
      <c r="B21" s="24" t="s">
        <v>526</v>
      </c>
      <c r="C21" s="25" t="s">
        <v>527</v>
      </c>
      <c r="D21" s="26">
        <v>0.0625</v>
      </c>
      <c r="E21" s="26">
        <v>0.0595800876617431</v>
      </c>
      <c r="F21" s="27"/>
      <c r="G21" s="28"/>
      <c r="H21" s="28"/>
      <c r="I21" s="29"/>
      <c r="J21" s="28"/>
      <c r="K21" s="28"/>
      <c r="L21" s="29" t="s">
        <v>528</v>
      </c>
      <c r="M21" s="28">
        <v>0.0625</v>
      </c>
      <c r="N21" s="28">
        <v>0.0227339267730712</v>
      </c>
      <c r="O21" s="32"/>
      <c r="P21" s="31"/>
      <c r="Q21" s="31"/>
      <c r="R21" s="29" t="s">
        <v>529</v>
      </c>
      <c r="S21" s="28">
        <v>0.0625</v>
      </c>
      <c r="T21" s="28">
        <v>0.00599002838134765</v>
      </c>
      <c r="U21" s="3">
        <f t="shared" si="1"/>
        <v>9.946545136</v>
      </c>
      <c r="V21" s="3"/>
      <c r="W21" s="3"/>
      <c r="X21" s="3"/>
      <c r="Y21" s="3"/>
      <c r="Z21" s="3"/>
      <c r="AA21" s="3"/>
      <c r="AB21" s="6"/>
    </row>
    <row r="22" ht="30.0" customHeight="1">
      <c r="A22" s="1">
        <v>18.0</v>
      </c>
      <c r="B22" s="24" t="s">
        <v>530</v>
      </c>
      <c r="C22" s="25" t="s">
        <v>531</v>
      </c>
      <c r="D22" s="26">
        <v>0.0312</v>
      </c>
      <c r="E22" s="26">
        <v>0.0616929531097412</v>
      </c>
      <c r="F22" s="27"/>
      <c r="G22" s="28"/>
      <c r="H22" s="28"/>
      <c r="I22" s="29"/>
      <c r="J22" s="28"/>
      <c r="K22" s="28"/>
      <c r="L22" s="29" t="s">
        <v>532</v>
      </c>
      <c r="M22" s="28">
        <v>0.0312</v>
      </c>
      <c r="N22" s="28">
        <v>0.0242347717285156</v>
      </c>
      <c r="O22" s="32"/>
      <c r="P22" s="31"/>
      <c r="Q22" s="31"/>
      <c r="R22" s="29" t="s">
        <v>533</v>
      </c>
      <c r="S22" s="28">
        <v>0.03125</v>
      </c>
      <c r="T22" s="28">
        <v>0.00597953796386718</v>
      </c>
      <c r="U22" s="3">
        <f t="shared" si="1"/>
        <v>10.3173445</v>
      </c>
      <c r="V22" s="3"/>
      <c r="W22" s="3"/>
      <c r="X22" s="3"/>
      <c r="Y22" s="3"/>
      <c r="Z22" s="3"/>
      <c r="AA22" s="3"/>
      <c r="AB22" s="6"/>
    </row>
    <row r="23" ht="30.0" customHeight="1">
      <c r="A23" s="1">
        <v>19.0</v>
      </c>
      <c r="B23" s="24" t="s">
        <v>534</v>
      </c>
      <c r="C23" s="25" t="s">
        <v>535</v>
      </c>
      <c r="D23" s="26">
        <v>0.4844</v>
      </c>
      <c r="E23" s="26">
        <v>0.0596702098846435</v>
      </c>
      <c r="F23" s="27"/>
      <c r="G23" s="28"/>
      <c r="H23" s="28"/>
      <c r="I23" s="29"/>
      <c r="J23" s="28"/>
      <c r="K23" s="28"/>
      <c r="L23" s="29" t="s">
        <v>536</v>
      </c>
      <c r="M23" s="28">
        <v>0.4844</v>
      </c>
      <c r="N23" s="28">
        <v>0.0283811092376709</v>
      </c>
      <c r="O23" s="32"/>
      <c r="P23" s="31"/>
      <c r="Q23" s="31"/>
      <c r="R23" s="29" t="s">
        <v>537</v>
      </c>
      <c r="S23" s="28">
        <v>0.484375</v>
      </c>
      <c r="T23" s="28">
        <v>0.00599384307861328</v>
      </c>
      <c r="U23" s="3">
        <f t="shared" si="1"/>
        <v>9.955250597</v>
      </c>
      <c r="V23" s="3"/>
      <c r="W23" s="3"/>
      <c r="X23" s="3"/>
      <c r="Y23" s="3"/>
      <c r="Z23" s="3"/>
      <c r="AA23" s="3"/>
      <c r="AB23" s="6"/>
    </row>
    <row r="24" ht="30.0" customHeight="1">
      <c r="A24" s="1">
        <v>20.0</v>
      </c>
      <c r="B24" s="24" t="s">
        <v>538</v>
      </c>
      <c r="C24" s="25" t="s">
        <v>539</v>
      </c>
      <c r="D24" s="26">
        <v>0.4688</v>
      </c>
      <c r="E24" s="26">
        <v>0.0564656257629394</v>
      </c>
      <c r="F24" s="27"/>
      <c r="G24" s="28"/>
      <c r="H24" s="28"/>
      <c r="I24" s="29"/>
      <c r="J24" s="28"/>
      <c r="K24" s="28"/>
      <c r="L24" s="29" t="s">
        <v>540</v>
      </c>
      <c r="M24" s="28">
        <v>0.4688</v>
      </c>
      <c r="N24" s="28">
        <v>0.0222322940826416</v>
      </c>
      <c r="O24" s="32"/>
      <c r="P24" s="31"/>
      <c r="Q24" s="31"/>
      <c r="R24" s="29" t="s">
        <v>541</v>
      </c>
      <c r="S24" s="28">
        <v>0.46875</v>
      </c>
      <c r="T24" s="28">
        <v>0.00499629974365234</v>
      </c>
      <c r="U24" s="3">
        <f t="shared" si="1"/>
        <v>11.30148883</v>
      </c>
      <c r="V24" s="3"/>
      <c r="W24" s="3"/>
      <c r="X24" s="3"/>
      <c r="Y24" s="3"/>
      <c r="Z24" s="3"/>
      <c r="AA24" s="3"/>
      <c r="AB24" s="6"/>
    </row>
    <row r="25" ht="30.0" customHeight="1">
      <c r="A25" s="1">
        <v>21.0</v>
      </c>
      <c r="B25" s="24" t="s">
        <v>542</v>
      </c>
      <c r="C25" s="25" t="s">
        <v>543</v>
      </c>
      <c r="D25" s="26">
        <v>0.0156</v>
      </c>
      <c r="E25" s="26">
        <v>0.058784008026123</v>
      </c>
      <c r="F25" s="27"/>
      <c r="G25" s="28"/>
      <c r="H25" s="28"/>
      <c r="I25" s="29"/>
      <c r="J25" s="28"/>
      <c r="K25" s="28"/>
      <c r="L25" s="29" t="s">
        <v>544</v>
      </c>
      <c r="M25" s="28">
        <v>0.0156</v>
      </c>
      <c r="N25" s="28">
        <v>0.022498607635498</v>
      </c>
      <c r="O25" s="32"/>
      <c r="P25" s="31"/>
      <c r="Q25" s="31"/>
      <c r="R25" s="29" t="s">
        <v>545</v>
      </c>
      <c r="S25" s="28">
        <v>0.015625</v>
      </c>
      <c r="T25" s="28">
        <v>0.00797533988952636</v>
      </c>
      <c r="U25" s="3">
        <f t="shared" si="1"/>
        <v>7.370721354</v>
      </c>
      <c r="V25" s="3"/>
      <c r="W25" s="3"/>
      <c r="X25" s="3"/>
      <c r="Y25" s="3"/>
      <c r="Z25" s="3"/>
      <c r="AA25" s="3"/>
      <c r="AB25" s="6"/>
    </row>
    <row r="26" ht="30.0" customHeight="1">
      <c r="A26" s="1">
        <v>22.0</v>
      </c>
      <c r="B26" s="24" t="s">
        <v>546</v>
      </c>
      <c r="C26" s="25" t="s">
        <v>547</v>
      </c>
      <c r="D26" s="26">
        <v>0.0156</v>
      </c>
      <c r="E26" s="26">
        <v>0.0601959228515625</v>
      </c>
      <c r="F26" s="27"/>
      <c r="G26" s="28"/>
      <c r="H26" s="28"/>
      <c r="I26" s="29"/>
      <c r="J26" s="28"/>
      <c r="K26" s="28"/>
      <c r="L26" s="29" t="s">
        <v>548</v>
      </c>
      <c r="M26" s="28">
        <v>0.0156</v>
      </c>
      <c r="N26" s="28">
        <v>0.0246858596801757</v>
      </c>
      <c r="O26" s="32"/>
      <c r="P26" s="31"/>
      <c r="Q26" s="31"/>
      <c r="R26" s="29" t="s">
        <v>549</v>
      </c>
      <c r="S26" s="28">
        <v>0.015625</v>
      </c>
      <c r="T26" s="28">
        <v>0.00497698783874511</v>
      </c>
      <c r="U26" s="3">
        <f t="shared" si="1"/>
        <v>12.0948503</v>
      </c>
      <c r="V26" s="3"/>
      <c r="W26" s="3"/>
      <c r="X26" s="3"/>
      <c r="Y26" s="3"/>
      <c r="Z26" s="3"/>
      <c r="AA26" s="3"/>
      <c r="AB26" s="6"/>
    </row>
    <row r="27" ht="30.0" customHeight="1">
      <c r="A27" s="1">
        <v>23.0</v>
      </c>
      <c r="B27" s="24" t="s">
        <v>550</v>
      </c>
      <c r="C27" s="25" t="s">
        <v>551</v>
      </c>
      <c r="D27" s="26">
        <v>0.4062</v>
      </c>
      <c r="E27" s="26">
        <v>0.0813541412353515</v>
      </c>
      <c r="F27" s="27"/>
      <c r="G27" s="28"/>
      <c r="H27" s="28"/>
      <c r="I27" s="29"/>
      <c r="J27" s="28"/>
      <c r="K27" s="28"/>
      <c r="L27" s="29" t="s">
        <v>552</v>
      </c>
      <c r="M27" s="28">
        <v>0.4062</v>
      </c>
      <c r="N27" s="28">
        <v>0.0224535465240478</v>
      </c>
      <c r="O27" s="32"/>
      <c r="P27" s="31"/>
      <c r="Q27" s="31"/>
      <c r="R27" s="29" t="s">
        <v>553</v>
      </c>
      <c r="S27" s="28">
        <v>0.40625</v>
      </c>
      <c r="T27" s="28">
        <v>0.00616788864135742</v>
      </c>
      <c r="U27" s="3">
        <f t="shared" si="1"/>
        <v>13.18994975</v>
      </c>
      <c r="V27" s="3"/>
      <c r="W27" s="3"/>
      <c r="X27" s="3"/>
      <c r="Y27" s="3"/>
      <c r="Z27" s="3"/>
      <c r="AA27" s="3"/>
      <c r="AB27" s="6"/>
    </row>
    <row r="28" ht="30.0" customHeight="1">
      <c r="A28" s="1">
        <v>24.0</v>
      </c>
      <c r="B28" s="24" t="s">
        <v>554</v>
      </c>
      <c r="C28" s="25" t="s">
        <v>555</v>
      </c>
      <c r="D28" s="26">
        <v>0.4375</v>
      </c>
      <c r="E28" s="26">
        <v>0.0602915287017822</v>
      </c>
      <c r="F28" s="27"/>
      <c r="G28" s="28"/>
      <c r="H28" s="28"/>
      <c r="I28" s="29"/>
      <c r="J28" s="28"/>
      <c r="K28" s="28"/>
      <c r="L28" s="29" t="s">
        <v>556</v>
      </c>
      <c r="M28" s="28">
        <v>0.4375</v>
      </c>
      <c r="N28" s="28">
        <v>0.0236802101135253</v>
      </c>
      <c r="O28" s="32"/>
      <c r="P28" s="31"/>
      <c r="Q28" s="31"/>
      <c r="R28" s="29" t="s">
        <v>557</v>
      </c>
      <c r="S28" s="28">
        <v>0.4375</v>
      </c>
      <c r="T28" s="28">
        <v>0.00598001480102539</v>
      </c>
      <c r="U28" s="3">
        <f t="shared" si="1"/>
        <v>10.08217048</v>
      </c>
      <c r="V28" s="3"/>
      <c r="W28" s="3"/>
      <c r="X28" s="3"/>
      <c r="Y28" s="3"/>
      <c r="Z28" s="3"/>
      <c r="AA28" s="3"/>
      <c r="AB28" s="6"/>
    </row>
    <row r="29" ht="30.0" customHeight="1">
      <c r="A29" s="1">
        <v>25.0</v>
      </c>
      <c r="B29" s="24" t="s">
        <v>558</v>
      </c>
      <c r="C29" s="25" t="s">
        <v>559</v>
      </c>
      <c r="D29" s="26">
        <v>0.0156</v>
      </c>
      <c r="E29" s="26">
        <v>0.056171178817749</v>
      </c>
      <c r="F29" s="27"/>
      <c r="G29" s="28"/>
      <c r="H29" s="28"/>
      <c r="I29" s="29"/>
      <c r="J29" s="28"/>
      <c r="K29" s="28"/>
      <c r="L29" s="29" t="s">
        <v>560</v>
      </c>
      <c r="M29" s="28">
        <v>0.0156</v>
      </c>
      <c r="N29" s="28">
        <v>0.0247962474822998</v>
      </c>
      <c r="O29" s="32"/>
      <c r="P29" s="31"/>
      <c r="Q29" s="31"/>
      <c r="R29" s="29" t="s">
        <v>561</v>
      </c>
      <c r="S29" s="28">
        <v>0.015625</v>
      </c>
      <c r="T29" s="28">
        <v>0.00498270988464355</v>
      </c>
      <c r="U29" s="3">
        <f t="shared" si="1"/>
        <v>11.27321881</v>
      </c>
      <c r="V29" s="3"/>
      <c r="W29" s="3"/>
      <c r="X29" s="3"/>
      <c r="Y29" s="3"/>
      <c r="Z29" s="3"/>
      <c r="AA29" s="3"/>
      <c r="AB29" s="6"/>
    </row>
    <row r="30" ht="30.0" customHeight="1">
      <c r="A30" s="1">
        <v>26.0</v>
      </c>
      <c r="B30" s="35" t="s">
        <v>562</v>
      </c>
      <c r="C30" s="25" t="s">
        <v>563</v>
      </c>
      <c r="D30" s="26">
        <v>0.0156</v>
      </c>
      <c r="E30" s="26">
        <v>0.0618731975555419</v>
      </c>
      <c r="F30" s="27"/>
      <c r="G30" s="28"/>
      <c r="H30" s="28"/>
      <c r="I30" s="29"/>
      <c r="J30" s="28"/>
      <c r="K30" s="28"/>
      <c r="L30" s="29" t="s">
        <v>564</v>
      </c>
      <c r="M30" s="28">
        <v>0.0156</v>
      </c>
      <c r="N30" s="28">
        <v>0.0190441608428955</v>
      </c>
      <c r="O30" s="32"/>
      <c r="P30" s="31"/>
      <c r="Q30" s="31"/>
      <c r="R30" s="29" t="s">
        <v>565</v>
      </c>
      <c r="S30" s="28">
        <v>0.015625</v>
      </c>
      <c r="T30" s="28">
        <v>0.00498175621032714</v>
      </c>
      <c r="U30" s="3">
        <f t="shared" si="1"/>
        <v>12.41995693</v>
      </c>
      <c r="V30" s="3"/>
      <c r="W30" s="3"/>
      <c r="X30" s="3"/>
      <c r="Y30" s="3"/>
      <c r="Z30" s="3"/>
      <c r="AA30" s="3"/>
      <c r="AB30" s="6"/>
    </row>
    <row r="31" ht="30.0" customHeight="1">
      <c r="A31" s="1">
        <v>27.0</v>
      </c>
      <c r="B31" s="35" t="s">
        <v>566</v>
      </c>
      <c r="C31" s="25" t="s">
        <v>567</v>
      </c>
      <c r="D31" s="26">
        <v>0.0156</v>
      </c>
      <c r="E31" s="26">
        <v>0.120370626449584</v>
      </c>
      <c r="F31" s="27"/>
      <c r="G31" s="28"/>
      <c r="H31" s="28"/>
      <c r="I31" s="29"/>
      <c r="J31" s="28"/>
      <c r="K31" s="28"/>
      <c r="L31" s="29" t="s">
        <v>568</v>
      </c>
      <c r="M31" s="28">
        <v>0.0156</v>
      </c>
      <c r="N31" s="28">
        <v>0.0309641361236572</v>
      </c>
      <c r="O31" s="32"/>
      <c r="P31" s="31"/>
      <c r="Q31" s="31"/>
      <c r="R31" s="29" t="s">
        <v>569</v>
      </c>
      <c r="S31" s="28">
        <v>0.015625</v>
      </c>
      <c r="T31" s="28">
        <v>0.00598764419555664</v>
      </c>
      <c r="U31" s="3">
        <f t="shared" si="1"/>
        <v>20.10316955</v>
      </c>
      <c r="V31" s="3"/>
      <c r="W31" s="3"/>
      <c r="X31" s="3"/>
      <c r="Y31" s="3"/>
      <c r="Z31" s="3"/>
      <c r="AA31" s="3"/>
      <c r="AB31" s="6"/>
    </row>
    <row r="32" ht="30.0" customHeight="1">
      <c r="A32" s="1">
        <v>28.0</v>
      </c>
      <c r="B32" s="35" t="s">
        <v>570</v>
      </c>
      <c r="C32" s="25" t="s">
        <v>571</v>
      </c>
      <c r="D32" s="26">
        <v>0.0156</v>
      </c>
      <c r="E32" s="26">
        <v>0.114683151245117</v>
      </c>
      <c r="F32" s="27"/>
      <c r="G32" s="28"/>
      <c r="H32" s="28"/>
      <c r="I32" s="29"/>
      <c r="J32" s="28"/>
      <c r="K32" s="28"/>
      <c r="L32" s="29" t="s">
        <v>572</v>
      </c>
      <c r="M32" s="28">
        <v>0.0156</v>
      </c>
      <c r="N32" s="28">
        <v>0.0303297042846679</v>
      </c>
      <c r="O32" s="32"/>
      <c r="P32" s="31"/>
      <c r="Q32" s="31"/>
      <c r="R32" s="29" t="s">
        <v>573</v>
      </c>
      <c r="S32" s="28">
        <v>0.015625</v>
      </c>
      <c r="T32" s="28">
        <v>0.00597023963928222</v>
      </c>
      <c r="U32" s="3">
        <f t="shared" si="1"/>
        <v>19.20913702</v>
      </c>
      <c r="V32" s="3"/>
      <c r="W32" s="3"/>
      <c r="X32" s="3"/>
      <c r="Y32" s="3"/>
      <c r="Z32" s="3"/>
      <c r="AA32" s="3"/>
      <c r="AB32" s="6"/>
    </row>
    <row r="33" ht="30.0" customHeight="1">
      <c r="A33" s="1">
        <v>29.0</v>
      </c>
      <c r="B33" s="35" t="s">
        <v>570</v>
      </c>
      <c r="C33" s="25" t="s">
        <v>571</v>
      </c>
      <c r="D33" s="26">
        <v>0.0156</v>
      </c>
      <c r="E33" s="26">
        <v>0.119183540344238</v>
      </c>
      <c r="F33" s="27"/>
      <c r="G33" s="28"/>
      <c r="H33" s="28"/>
      <c r="I33" s="29"/>
      <c r="J33" s="28"/>
      <c r="K33" s="28"/>
      <c r="L33" s="29" t="s">
        <v>572</v>
      </c>
      <c r="M33" s="28">
        <v>0.0156</v>
      </c>
      <c r="N33" s="28">
        <v>0.0297708511352539</v>
      </c>
      <c r="O33" s="32"/>
      <c r="P33" s="31"/>
      <c r="Q33" s="31"/>
      <c r="R33" s="29" t="s">
        <v>573</v>
      </c>
      <c r="S33" s="28">
        <v>0.015625</v>
      </c>
      <c r="T33" s="28">
        <v>0.00499176979064941</v>
      </c>
      <c r="U33" s="3">
        <f t="shared" si="1"/>
        <v>23.87600898</v>
      </c>
      <c r="V33" s="3"/>
      <c r="W33" s="3"/>
      <c r="X33" s="3"/>
      <c r="Y33" s="3"/>
      <c r="Z33" s="3"/>
      <c r="AA33" s="3"/>
      <c r="AB33" s="6"/>
    </row>
    <row r="34" ht="30.0" customHeight="1">
      <c r="A34" s="1">
        <v>30.0</v>
      </c>
      <c r="B34" s="35" t="s">
        <v>574</v>
      </c>
      <c r="C34" s="25" t="s">
        <v>575</v>
      </c>
      <c r="D34" s="26">
        <v>0.4375</v>
      </c>
      <c r="E34" s="26">
        <v>0.111222028732299</v>
      </c>
      <c r="F34" s="27"/>
      <c r="G34" s="28"/>
      <c r="H34" s="28"/>
      <c r="I34" s="29"/>
      <c r="J34" s="28"/>
      <c r="K34" s="28"/>
      <c r="L34" s="29" t="s">
        <v>576</v>
      </c>
      <c r="M34" s="28">
        <v>0.4375</v>
      </c>
      <c r="N34" s="28">
        <v>0.0303888320922851</v>
      </c>
      <c r="O34" s="32"/>
      <c r="P34" s="31"/>
      <c r="Q34" s="31"/>
      <c r="R34" s="29" t="s">
        <v>577</v>
      </c>
      <c r="S34" s="28">
        <v>0.4375</v>
      </c>
      <c r="T34" s="28">
        <v>0.00598049163818359</v>
      </c>
      <c r="U34" s="3">
        <f t="shared" si="1"/>
        <v>18.59747249</v>
      </c>
      <c r="V34" s="3"/>
      <c r="W34" s="3"/>
      <c r="X34" s="3"/>
      <c r="Y34" s="3"/>
      <c r="Z34" s="3"/>
      <c r="AA34" s="3"/>
      <c r="AB34" s="6"/>
    </row>
    <row r="35" ht="30.0" customHeight="1">
      <c r="A35" s="1">
        <v>31.0</v>
      </c>
      <c r="B35" s="35" t="s">
        <v>578</v>
      </c>
      <c r="C35" s="25" t="s">
        <v>579</v>
      </c>
      <c r="D35" s="26">
        <v>0.0156</v>
      </c>
      <c r="E35" s="26">
        <v>0.125112533569335</v>
      </c>
      <c r="F35" s="27"/>
      <c r="G35" s="28"/>
      <c r="H35" s="28"/>
      <c r="I35" s="29"/>
      <c r="J35" s="28"/>
      <c r="K35" s="28"/>
      <c r="L35" s="29" t="s">
        <v>580</v>
      </c>
      <c r="M35" s="28">
        <v>0.0156</v>
      </c>
      <c r="N35" s="28">
        <v>0.034365177154541</v>
      </c>
      <c r="O35" s="32"/>
      <c r="P35" s="31"/>
      <c r="Q35" s="31"/>
      <c r="R35" s="29" t="s">
        <v>581</v>
      </c>
      <c r="S35" s="28">
        <v>0.015625</v>
      </c>
      <c r="T35" s="28">
        <v>0.00797390937805175</v>
      </c>
      <c r="U35" s="3">
        <f t="shared" si="1"/>
        <v>15.6902377</v>
      </c>
      <c r="V35" s="3"/>
      <c r="W35" s="3"/>
      <c r="X35" s="3"/>
      <c r="Y35" s="3"/>
      <c r="Z35" s="3"/>
      <c r="AA35" s="3"/>
      <c r="AB35" s="6"/>
    </row>
    <row r="36" ht="30.0" customHeight="1">
      <c r="A36" s="1">
        <v>32.0</v>
      </c>
      <c r="B36" s="35" t="s">
        <v>582</v>
      </c>
      <c r="C36" s="25" t="s">
        <v>583</v>
      </c>
      <c r="D36" s="26">
        <v>0.4375</v>
      </c>
      <c r="E36" s="26">
        <v>0.110336303710937</v>
      </c>
      <c r="F36" s="27"/>
      <c r="G36" s="28"/>
      <c r="H36" s="28"/>
      <c r="I36" s="29"/>
      <c r="J36" s="28"/>
      <c r="K36" s="28"/>
      <c r="L36" s="29" t="s">
        <v>584</v>
      </c>
      <c r="M36" s="28">
        <v>0.4375</v>
      </c>
      <c r="N36" s="28">
        <v>0.0297529697418212</v>
      </c>
      <c r="O36" s="32"/>
      <c r="P36" s="31"/>
      <c r="Q36" s="31"/>
      <c r="R36" s="29" t="s">
        <v>585</v>
      </c>
      <c r="S36" s="28">
        <v>0.4375</v>
      </c>
      <c r="T36" s="28">
        <v>0.00795555114746093</v>
      </c>
      <c r="U36" s="3">
        <f t="shared" si="1"/>
        <v>13.86909614</v>
      </c>
      <c r="V36" s="3"/>
      <c r="W36" s="3"/>
      <c r="X36" s="3"/>
      <c r="Y36" s="3"/>
      <c r="Z36" s="3"/>
      <c r="AA36" s="3"/>
      <c r="AB36" s="6"/>
    </row>
    <row r="37" ht="30.0" customHeight="1">
      <c r="A37" s="1">
        <v>33.0</v>
      </c>
      <c r="B37" s="35" t="s">
        <v>586</v>
      </c>
      <c r="C37" s="25" t="s">
        <v>587</v>
      </c>
      <c r="D37" s="26">
        <v>0.4375</v>
      </c>
      <c r="E37" s="26">
        <v>0.13560938835144</v>
      </c>
      <c r="F37" s="27"/>
      <c r="G37" s="28"/>
      <c r="H37" s="28"/>
      <c r="I37" s="29"/>
      <c r="J37" s="28"/>
      <c r="K37" s="28"/>
      <c r="L37" s="29" t="s">
        <v>588</v>
      </c>
      <c r="M37" s="28">
        <v>0.4375</v>
      </c>
      <c r="N37" s="28">
        <v>0.0248975753784179</v>
      </c>
      <c r="O37" s="32"/>
      <c r="P37" s="31"/>
      <c r="Q37" s="31"/>
      <c r="R37" s="29" t="s">
        <v>589</v>
      </c>
      <c r="S37" s="28">
        <v>0.4375</v>
      </c>
      <c r="T37" s="28">
        <v>0.00698828697204589</v>
      </c>
      <c r="U37" s="3">
        <f t="shared" si="1"/>
        <v>19.40524035</v>
      </c>
      <c r="V37" s="3"/>
      <c r="W37" s="3"/>
      <c r="X37" s="3"/>
      <c r="Y37" s="3"/>
      <c r="Z37" s="3"/>
      <c r="AA37" s="3"/>
      <c r="AB37" s="6"/>
    </row>
    <row r="38" ht="30.0" customHeight="1">
      <c r="A38" s="1">
        <v>34.0</v>
      </c>
      <c r="B38" s="35" t="s">
        <v>590</v>
      </c>
      <c r="C38" s="25" t="s">
        <v>591</v>
      </c>
      <c r="D38" s="26">
        <v>0.4375</v>
      </c>
      <c r="E38" s="26">
        <v>0.146080017089843</v>
      </c>
      <c r="F38" s="27"/>
      <c r="G38" s="28"/>
      <c r="H38" s="28"/>
      <c r="I38" s="29"/>
      <c r="J38" s="28"/>
      <c r="K38" s="28"/>
      <c r="L38" s="29" t="s">
        <v>592</v>
      </c>
      <c r="M38" s="28">
        <v>0.4375</v>
      </c>
      <c r="N38" s="28">
        <v>0.0260369777679443</v>
      </c>
      <c r="O38" s="32"/>
      <c r="P38" s="31"/>
      <c r="Q38" s="31"/>
      <c r="R38" s="29" t="s">
        <v>593</v>
      </c>
      <c r="S38" s="28">
        <v>0.4375</v>
      </c>
      <c r="T38" s="28">
        <v>0.00697827339172363</v>
      </c>
      <c r="U38" s="3">
        <f t="shared" si="1"/>
        <v>20.93354744</v>
      </c>
      <c r="V38" s="3"/>
      <c r="W38" s="3"/>
      <c r="X38" s="3"/>
      <c r="Y38" s="3"/>
      <c r="Z38" s="3"/>
      <c r="AA38" s="3"/>
      <c r="AB38" s="6"/>
    </row>
    <row r="39" ht="30.0" customHeight="1">
      <c r="A39" s="1">
        <v>35.0</v>
      </c>
      <c r="B39" s="35" t="s">
        <v>574</v>
      </c>
      <c r="C39" s="25" t="s">
        <v>575</v>
      </c>
      <c r="D39" s="26">
        <v>0.4375</v>
      </c>
      <c r="E39" s="26">
        <v>0.119679927825927</v>
      </c>
      <c r="F39" s="27"/>
      <c r="G39" s="28"/>
      <c r="H39" s="28"/>
      <c r="I39" s="29"/>
      <c r="J39" s="28"/>
      <c r="K39" s="28"/>
      <c r="L39" s="29" t="s">
        <v>576</v>
      </c>
      <c r="M39" s="28">
        <v>0.4375</v>
      </c>
      <c r="N39" s="28">
        <v>0.0309531688690185</v>
      </c>
      <c r="O39" s="32"/>
      <c r="P39" s="31"/>
      <c r="Q39" s="31"/>
      <c r="R39" s="29" t="s">
        <v>577</v>
      </c>
      <c r="S39" s="28">
        <v>0.4375</v>
      </c>
      <c r="T39" s="28">
        <v>0.0099639892578125</v>
      </c>
      <c r="U39" s="3">
        <f t="shared" si="1"/>
        <v>12.01124617</v>
      </c>
      <c r="V39" s="3"/>
      <c r="W39" s="3"/>
      <c r="X39" s="3"/>
      <c r="Y39" s="3"/>
      <c r="Z39" s="3"/>
      <c r="AA39" s="3"/>
      <c r="AB39" s="6"/>
    </row>
    <row r="40" ht="30.0" customHeight="1">
      <c r="A40" s="1">
        <v>36.0</v>
      </c>
      <c r="B40" s="44" t="s">
        <v>578</v>
      </c>
      <c r="C40" s="25" t="s">
        <v>579</v>
      </c>
      <c r="D40" s="26">
        <v>0.0156</v>
      </c>
      <c r="E40" s="26">
        <v>0.117828607559204</v>
      </c>
      <c r="F40" s="27"/>
      <c r="G40" s="28"/>
      <c r="H40" s="28"/>
      <c r="I40" s="29"/>
      <c r="J40" s="28"/>
      <c r="K40" s="28"/>
      <c r="L40" s="29" t="s">
        <v>580</v>
      </c>
      <c r="M40" s="28">
        <v>0.0156</v>
      </c>
      <c r="N40" s="28">
        <v>0.0316393375396728</v>
      </c>
      <c r="O40" s="32"/>
      <c r="P40" s="31"/>
      <c r="Q40" s="31"/>
      <c r="R40" s="29" t="s">
        <v>581</v>
      </c>
      <c r="S40" s="28">
        <v>0.015625</v>
      </c>
      <c r="T40" s="28">
        <v>0.00698375701904296</v>
      </c>
      <c r="U40" s="3">
        <f t="shared" si="1"/>
        <v>16.871808</v>
      </c>
      <c r="V40" s="3"/>
      <c r="W40" s="3"/>
      <c r="X40" s="3"/>
      <c r="Y40" s="3"/>
      <c r="Z40" s="3"/>
      <c r="AA40" s="3"/>
      <c r="AB40" s="6"/>
    </row>
    <row r="41" ht="30.0" customHeight="1">
      <c r="A41" s="1">
        <v>37.0</v>
      </c>
      <c r="B41" s="35" t="s">
        <v>582</v>
      </c>
      <c r="C41" s="25" t="s">
        <v>583</v>
      </c>
      <c r="D41" s="26">
        <v>0.4375</v>
      </c>
      <c r="E41" s="26">
        <v>0.120222806930541</v>
      </c>
      <c r="F41" s="27"/>
      <c r="G41" s="28"/>
      <c r="H41" s="28"/>
      <c r="I41" s="29"/>
      <c r="J41" s="28"/>
      <c r="K41" s="28"/>
      <c r="L41" s="29" t="s">
        <v>584</v>
      </c>
      <c r="M41" s="28">
        <v>0.4375</v>
      </c>
      <c r="N41" s="28">
        <v>0.0246546268463134</v>
      </c>
      <c r="O41" s="32"/>
      <c r="P41" s="31"/>
      <c r="Q41" s="31"/>
      <c r="R41" s="29" t="s">
        <v>585</v>
      </c>
      <c r="S41" s="28">
        <v>0.4375</v>
      </c>
      <c r="T41" s="28">
        <v>0.00697708129882812</v>
      </c>
      <c r="U41" s="3">
        <f t="shared" si="1"/>
        <v>17.23110306</v>
      </c>
      <c r="V41" s="3"/>
      <c r="W41" s="3"/>
      <c r="X41" s="3"/>
      <c r="Y41" s="3"/>
      <c r="Z41" s="3"/>
      <c r="AA41" s="3"/>
      <c r="AB41" s="6"/>
    </row>
    <row r="42" ht="30.0" customHeight="1">
      <c r="A42" s="1">
        <v>38.0</v>
      </c>
      <c r="B42" s="35" t="s">
        <v>594</v>
      </c>
      <c r="C42" s="25" t="s">
        <v>595</v>
      </c>
      <c r="D42" s="26">
        <v>0.4375</v>
      </c>
      <c r="E42" s="26">
        <v>0.111484766006469</v>
      </c>
      <c r="F42" s="27"/>
      <c r="G42" s="28"/>
      <c r="H42" s="28"/>
      <c r="I42" s="29"/>
      <c r="J42" s="28"/>
      <c r="K42" s="28"/>
      <c r="L42" s="29" t="s">
        <v>596</v>
      </c>
      <c r="M42" s="28">
        <v>0.4375</v>
      </c>
      <c r="N42" s="28">
        <v>0.0266318321228027</v>
      </c>
      <c r="O42" s="32"/>
      <c r="P42" s="31"/>
      <c r="Q42" s="31"/>
      <c r="R42" s="29" t="s">
        <v>597</v>
      </c>
      <c r="S42" s="28">
        <v>0.4375</v>
      </c>
      <c r="T42" s="28">
        <v>0.00698590278625488</v>
      </c>
      <c r="U42" s="3">
        <f t="shared" si="1"/>
        <v>15.95853384</v>
      </c>
      <c r="V42" s="3"/>
      <c r="W42" s="3"/>
      <c r="X42" s="3"/>
      <c r="Y42" s="3"/>
      <c r="Z42" s="3"/>
      <c r="AA42" s="3"/>
      <c r="AB42" s="6"/>
    </row>
    <row r="43" ht="30.0" customHeight="1">
      <c r="A43" s="1">
        <v>39.0</v>
      </c>
      <c r="B43" s="35" t="s">
        <v>590</v>
      </c>
      <c r="C43" s="25" t="s">
        <v>591</v>
      </c>
      <c r="D43" s="26">
        <v>0.4375</v>
      </c>
      <c r="E43" s="26">
        <v>0.110117673873901</v>
      </c>
      <c r="F43" s="27"/>
      <c r="G43" s="28"/>
      <c r="H43" s="28"/>
      <c r="I43" s="29"/>
      <c r="J43" s="28"/>
      <c r="K43" s="28"/>
      <c r="L43" s="29" t="s">
        <v>592</v>
      </c>
      <c r="M43" s="28">
        <v>0.4375</v>
      </c>
      <c r="N43" s="28">
        <v>0.0292484760284423</v>
      </c>
      <c r="O43" s="32"/>
      <c r="P43" s="31"/>
      <c r="Q43" s="31"/>
      <c r="R43" s="29" t="s">
        <v>593</v>
      </c>
      <c r="S43" s="28">
        <v>0.4375</v>
      </c>
      <c r="T43" s="28">
        <v>0.00797700881958007</v>
      </c>
      <c r="U43" s="3">
        <f t="shared" si="1"/>
        <v>13.80438161</v>
      </c>
      <c r="V43" s="3"/>
      <c r="W43" s="3"/>
      <c r="X43" s="3"/>
      <c r="Y43" s="3"/>
      <c r="Z43" s="3"/>
      <c r="AA43" s="3"/>
      <c r="AB43" s="6"/>
    </row>
    <row r="44" ht="30.0" customHeight="1">
      <c r="A44" s="1">
        <v>40.0</v>
      </c>
      <c r="B44" s="35" t="s">
        <v>590</v>
      </c>
      <c r="C44" s="25" t="s">
        <v>591</v>
      </c>
      <c r="D44" s="26">
        <v>0.4375</v>
      </c>
      <c r="E44" s="26">
        <v>0.110526800155639</v>
      </c>
      <c r="F44" s="27"/>
      <c r="G44" s="28"/>
      <c r="H44" s="28"/>
      <c r="I44" s="29"/>
      <c r="J44" s="28"/>
      <c r="K44" s="28"/>
      <c r="L44" s="29" t="s">
        <v>592</v>
      </c>
      <c r="M44" s="28">
        <v>0.4375</v>
      </c>
      <c r="N44" s="28">
        <v>0.0227260589599609</v>
      </c>
      <c r="O44" s="32"/>
      <c r="P44" s="31"/>
      <c r="Q44" s="31"/>
      <c r="R44" s="29" t="s">
        <v>593</v>
      </c>
      <c r="S44" s="28">
        <v>0.4375</v>
      </c>
      <c r="T44" s="28">
        <v>0.00598788261413574</v>
      </c>
      <c r="U44" s="3">
        <f t="shared" si="1"/>
        <v>18.45841131</v>
      </c>
      <c r="V44" s="3"/>
      <c r="W44" s="3"/>
      <c r="X44" s="3"/>
      <c r="Y44" s="3"/>
      <c r="Z44" s="3"/>
      <c r="AA44" s="3"/>
      <c r="AB44" s="6"/>
    </row>
    <row r="45" ht="30.0" customHeight="1">
      <c r="A45" s="1">
        <v>41.0</v>
      </c>
      <c r="B45" s="35" t="s">
        <v>574</v>
      </c>
      <c r="C45" s="25" t="s">
        <v>575</v>
      </c>
      <c r="D45" s="26">
        <v>0.4375</v>
      </c>
      <c r="E45" s="26">
        <v>0.108573198318481</v>
      </c>
      <c r="F45" s="27"/>
      <c r="G45" s="28"/>
      <c r="H45" s="28"/>
      <c r="I45" s="29"/>
      <c r="J45" s="28"/>
      <c r="K45" s="28"/>
      <c r="L45" s="29" t="s">
        <v>576</v>
      </c>
      <c r="M45" s="28">
        <v>0.4375</v>
      </c>
      <c r="N45" s="28">
        <v>0.028693675994873</v>
      </c>
      <c r="O45" s="32"/>
      <c r="P45" s="31"/>
      <c r="Q45" s="31"/>
      <c r="R45" s="29" t="s">
        <v>577</v>
      </c>
      <c r="S45" s="28">
        <v>0.4375</v>
      </c>
      <c r="T45" s="28">
        <v>0.00597119331359863</v>
      </c>
      <c r="U45" s="3">
        <f t="shared" si="1"/>
        <v>18.1828309</v>
      </c>
      <c r="V45" s="3"/>
      <c r="W45" s="3"/>
      <c r="X45" s="3"/>
      <c r="Y45" s="3"/>
      <c r="Z45" s="3"/>
      <c r="AA45" s="3"/>
      <c r="AB45" s="6"/>
    </row>
    <row r="46" ht="30.0" customHeight="1">
      <c r="A46" s="1">
        <v>42.0</v>
      </c>
      <c r="B46" s="35" t="s">
        <v>598</v>
      </c>
      <c r="C46" s="25" t="s">
        <v>599</v>
      </c>
      <c r="D46" s="26">
        <v>0.4688</v>
      </c>
      <c r="E46" s="26">
        <v>0.107009410858154</v>
      </c>
      <c r="F46" s="27"/>
      <c r="G46" s="28"/>
      <c r="H46" s="28"/>
      <c r="I46" s="29"/>
      <c r="J46" s="28"/>
      <c r="K46" s="28"/>
      <c r="L46" s="29" t="s">
        <v>600</v>
      </c>
      <c r="M46" s="28">
        <v>0.4688</v>
      </c>
      <c r="N46" s="28">
        <v>0.0313861370086669</v>
      </c>
      <c r="O46" s="32"/>
      <c r="P46" s="31"/>
      <c r="Q46" s="31"/>
      <c r="R46" s="29" t="s">
        <v>601</v>
      </c>
      <c r="S46" s="28">
        <v>0.46875</v>
      </c>
      <c r="T46" s="28">
        <v>0.00596928596496582</v>
      </c>
      <c r="U46" s="3">
        <f t="shared" si="1"/>
        <v>17.92666853</v>
      </c>
      <c r="V46" s="3"/>
      <c r="W46" s="3"/>
      <c r="X46" s="3"/>
      <c r="Y46" s="3"/>
      <c r="Z46" s="3"/>
      <c r="AA46" s="3"/>
      <c r="AB46" s="6"/>
    </row>
    <row r="47" ht="30.0" customHeight="1">
      <c r="A47" s="1">
        <v>43.0</v>
      </c>
      <c r="B47" s="35" t="s">
        <v>582</v>
      </c>
      <c r="C47" s="25" t="s">
        <v>583</v>
      </c>
      <c r="D47" s="26">
        <v>0.4375</v>
      </c>
      <c r="E47" s="26">
        <v>0.102737665176391</v>
      </c>
      <c r="F47" s="27"/>
      <c r="G47" s="28"/>
      <c r="H47" s="28"/>
      <c r="I47" s="29"/>
      <c r="J47" s="28"/>
      <c r="K47" s="28"/>
      <c r="L47" s="29" t="s">
        <v>584</v>
      </c>
      <c r="M47" s="28">
        <v>0.4375</v>
      </c>
      <c r="N47" s="28">
        <v>0.0274906158447265</v>
      </c>
      <c r="O47" s="32"/>
      <c r="P47" s="31"/>
      <c r="Q47" s="31"/>
      <c r="R47" s="29" t="s">
        <v>585</v>
      </c>
      <c r="S47" s="28">
        <v>0.4375</v>
      </c>
      <c r="T47" s="28">
        <v>0.00897216796875</v>
      </c>
      <c r="U47" s="3">
        <f t="shared" si="1"/>
        <v>11.45070685</v>
      </c>
      <c r="V47" s="3"/>
      <c r="W47" s="3"/>
      <c r="X47" s="3"/>
      <c r="Y47" s="3"/>
      <c r="Z47" s="3"/>
      <c r="AA47" s="3"/>
      <c r="AB47" s="6"/>
    </row>
    <row r="48" ht="30.0" customHeight="1">
      <c r="A48" s="1">
        <v>44.0</v>
      </c>
      <c r="B48" s="35" t="s">
        <v>602</v>
      </c>
      <c r="C48" s="25" t="s">
        <v>603</v>
      </c>
      <c r="D48" s="26">
        <v>0.0156</v>
      </c>
      <c r="E48" s="26">
        <v>0.110271692276</v>
      </c>
      <c r="F48" s="27"/>
      <c r="G48" s="28"/>
      <c r="H48" s="28"/>
      <c r="I48" s="29"/>
      <c r="J48" s="28"/>
      <c r="K48" s="28"/>
      <c r="L48" s="29" t="s">
        <v>604</v>
      </c>
      <c r="M48" s="28">
        <v>0.0156</v>
      </c>
      <c r="N48" s="28">
        <v>0.0316436290740966</v>
      </c>
      <c r="O48" s="32"/>
      <c r="P48" s="31"/>
      <c r="Q48" s="31"/>
      <c r="R48" s="29" t="s">
        <v>605</v>
      </c>
      <c r="S48" s="28">
        <v>0.015625</v>
      </c>
      <c r="T48" s="28">
        <v>0.00599050521850585</v>
      </c>
      <c r="U48" s="3">
        <f t="shared" si="1"/>
        <v>18.40774497</v>
      </c>
      <c r="V48" s="3"/>
      <c r="W48" s="3"/>
      <c r="X48" s="3"/>
      <c r="Y48" s="3"/>
      <c r="Z48" s="3"/>
      <c r="AA48" s="3"/>
      <c r="AB48" s="6"/>
    </row>
    <row r="49" ht="30.0" customHeight="1">
      <c r="A49" s="1">
        <v>45.0</v>
      </c>
      <c r="B49" s="35" t="s">
        <v>570</v>
      </c>
      <c r="C49" s="25" t="s">
        <v>571</v>
      </c>
      <c r="D49" s="26">
        <v>0.0156</v>
      </c>
      <c r="E49" s="26">
        <v>0.115406990051269</v>
      </c>
      <c r="F49" s="27"/>
      <c r="G49" s="28"/>
      <c r="H49" s="28"/>
      <c r="I49" s="29"/>
      <c r="J49" s="28"/>
      <c r="K49" s="28"/>
      <c r="L49" s="29" t="s">
        <v>572</v>
      </c>
      <c r="M49" s="28">
        <v>0.0156</v>
      </c>
      <c r="N49" s="28">
        <v>0.0314054489135742</v>
      </c>
      <c r="O49" s="32"/>
      <c r="P49" s="31"/>
      <c r="Q49" s="31"/>
      <c r="R49" s="29" t="s">
        <v>573</v>
      </c>
      <c r="S49" s="28">
        <v>0.015625</v>
      </c>
      <c r="T49" s="28">
        <v>0.00598001480102539</v>
      </c>
      <c r="U49" s="3">
        <f t="shared" si="1"/>
        <v>19.29878</v>
      </c>
      <c r="V49" s="3"/>
      <c r="W49" s="3"/>
      <c r="X49" s="3"/>
      <c r="Y49" s="3"/>
      <c r="Z49" s="3"/>
      <c r="AA49" s="3"/>
      <c r="AB49" s="6"/>
    </row>
    <row r="50" ht="30.0" customHeight="1">
      <c r="A50" s="1">
        <v>46.0</v>
      </c>
      <c r="B50" s="35" t="s">
        <v>606</v>
      </c>
      <c r="C50" s="25" t="s">
        <v>607</v>
      </c>
      <c r="D50" s="26">
        <v>0.0</v>
      </c>
      <c r="E50" s="26">
        <v>0.118901491165161</v>
      </c>
      <c r="F50" s="27"/>
      <c r="G50" s="28"/>
      <c r="H50" s="28"/>
      <c r="I50" s="29"/>
      <c r="J50" s="28"/>
      <c r="K50" s="28"/>
      <c r="L50" s="29" t="s">
        <v>608</v>
      </c>
      <c r="M50" s="28">
        <v>0.0</v>
      </c>
      <c r="N50" s="28">
        <v>0.0284852981567382</v>
      </c>
      <c r="O50" s="32"/>
      <c r="P50" s="31"/>
      <c r="Q50" s="31"/>
      <c r="R50" s="29" t="s">
        <v>609</v>
      </c>
      <c r="S50" s="28">
        <v>0.0</v>
      </c>
      <c r="T50" s="28">
        <v>0.00697588920593261</v>
      </c>
      <c r="U50" s="3">
        <f t="shared" si="1"/>
        <v>17.04463584</v>
      </c>
      <c r="V50" s="3"/>
      <c r="W50" s="3"/>
      <c r="X50" s="3"/>
      <c r="Y50" s="3"/>
      <c r="Z50" s="3"/>
      <c r="AA50" s="3"/>
      <c r="AB50" s="6"/>
    </row>
    <row r="51" ht="30.0" customHeight="1">
      <c r="A51" s="1">
        <v>47.0</v>
      </c>
      <c r="B51" s="35" t="s">
        <v>578</v>
      </c>
      <c r="C51" s="25" t="s">
        <v>579</v>
      </c>
      <c r="D51" s="26">
        <v>0.0156</v>
      </c>
      <c r="E51" s="26">
        <v>0.114804983139038</v>
      </c>
      <c r="F51" s="27"/>
      <c r="G51" s="28"/>
      <c r="H51" s="28"/>
      <c r="I51" s="29"/>
      <c r="J51" s="28"/>
      <c r="K51" s="28"/>
      <c r="L51" s="29" t="s">
        <v>580</v>
      </c>
      <c r="M51" s="28">
        <v>0.0156</v>
      </c>
      <c r="N51" s="28">
        <v>0.0302579402923584</v>
      </c>
      <c r="O51" s="32"/>
      <c r="P51" s="31"/>
      <c r="Q51" s="31"/>
      <c r="R51" s="29" t="s">
        <v>581</v>
      </c>
      <c r="S51" s="28">
        <v>0.015625</v>
      </c>
      <c r="T51" s="28">
        <v>0.00991368293762207</v>
      </c>
      <c r="U51" s="3">
        <f t="shared" si="1"/>
        <v>11.58045742</v>
      </c>
      <c r="V51" s="3"/>
      <c r="W51" s="3"/>
      <c r="X51" s="3"/>
      <c r="Y51" s="3"/>
      <c r="Z51" s="3"/>
      <c r="AA51" s="3"/>
      <c r="AB51" s="6"/>
    </row>
    <row r="52" ht="30.0" customHeight="1">
      <c r="A52" s="1">
        <v>48.0</v>
      </c>
      <c r="B52" s="35" t="s">
        <v>610</v>
      </c>
      <c r="C52" s="25" t="s">
        <v>611</v>
      </c>
      <c r="D52" s="26">
        <v>0.0312</v>
      </c>
      <c r="E52" s="26">
        <v>0.109248638153076</v>
      </c>
      <c r="F52" s="27"/>
      <c r="G52" s="28"/>
      <c r="H52" s="28"/>
      <c r="I52" s="29"/>
      <c r="J52" s="28"/>
      <c r="K52" s="28"/>
      <c r="L52" s="29" t="s">
        <v>612</v>
      </c>
      <c r="M52" s="28">
        <v>0.0312</v>
      </c>
      <c r="N52" s="28">
        <v>0.0305004119873046</v>
      </c>
      <c r="O52" s="32"/>
      <c r="P52" s="31"/>
      <c r="Q52" s="31"/>
      <c r="R52" s="29" t="s">
        <v>613</v>
      </c>
      <c r="S52" s="28">
        <v>0.03125</v>
      </c>
      <c r="T52" s="28">
        <v>0.00599908828735351</v>
      </c>
      <c r="U52" s="3">
        <f t="shared" si="1"/>
        <v>18.21087354</v>
      </c>
      <c r="V52" s="3"/>
      <c r="W52" s="3"/>
      <c r="X52" s="3"/>
      <c r="Y52" s="3"/>
      <c r="Z52" s="3"/>
      <c r="AA52" s="3"/>
      <c r="AB52" s="6"/>
    </row>
    <row r="53" ht="30.0" customHeight="1">
      <c r="A53" s="1">
        <v>49.0</v>
      </c>
      <c r="B53" s="35" t="s">
        <v>566</v>
      </c>
      <c r="C53" s="25" t="s">
        <v>567</v>
      </c>
      <c r="D53" s="26">
        <v>0.0156</v>
      </c>
      <c r="E53" s="26">
        <v>0.107672452926635</v>
      </c>
      <c r="F53" s="27"/>
      <c r="G53" s="28"/>
      <c r="H53" s="28"/>
      <c r="I53" s="29"/>
      <c r="J53" s="28"/>
      <c r="K53" s="28"/>
      <c r="L53" s="29" t="s">
        <v>568</v>
      </c>
      <c r="M53" s="28">
        <v>0.0156</v>
      </c>
      <c r="N53" s="28">
        <v>0.0376086235046386</v>
      </c>
      <c r="O53" s="32"/>
      <c r="P53" s="31"/>
      <c r="Q53" s="31"/>
      <c r="R53" s="29" t="s">
        <v>569</v>
      </c>
      <c r="S53" s="28">
        <v>0.015625</v>
      </c>
      <c r="T53" s="28">
        <v>0.00598955154418945</v>
      </c>
      <c r="U53" s="3">
        <f t="shared" si="1"/>
        <v>17.97671364</v>
      </c>
      <c r="V53" s="3"/>
      <c r="W53" s="3"/>
      <c r="X53" s="3"/>
      <c r="Y53" s="3"/>
      <c r="Z53" s="3"/>
      <c r="AA53" s="3"/>
      <c r="AB53" s="6"/>
    </row>
    <row r="54" ht="30.0" customHeight="1">
      <c r="A54" s="1">
        <v>50.0</v>
      </c>
      <c r="B54" s="35" t="s">
        <v>614</v>
      </c>
      <c r="C54" s="25" t="s">
        <v>615</v>
      </c>
      <c r="D54" s="26">
        <v>0.4375</v>
      </c>
      <c r="E54" s="26">
        <v>0.205948114395141</v>
      </c>
      <c r="F54" s="27"/>
      <c r="G54" s="28"/>
      <c r="H54" s="28"/>
      <c r="I54" s="29"/>
      <c r="J54" s="28"/>
      <c r="K54" s="28"/>
      <c r="L54" s="29" t="s">
        <v>616</v>
      </c>
      <c r="M54" s="28">
        <v>0.4375</v>
      </c>
      <c r="N54" s="28">
        <v>0.0367724895477294</v>
      </c>
      <c r="O54" s="32"/>
      <c r="P54" s="31"/>
      <c r="Q54" s="31"/>
      <c r="R54" s="29" t="s">
        <v>617</v>
      </c>
      <c r="S54" s="28">
        <v>0.4375</v>
      </c>
      <c r="T54" s="28">
        <v>0.00697183609008789</v>
      </c>
      <c r="U54" s="3">
        <f t="shared" si="1"/>
        <v>29.54001094</v>
      </c>
      <c r="V54" s="3"/>
      <c r="W54" s="3"/>
      <c r="X54" s="3"/>
      <c r="Y54" s="3"/>
      <c r="Z54" s="3"/>
      <c r="AA54" s="3"/>
      <c r="AB54" s="6"/>
    </row>
    <row r="55" ht="15.75" customHeight="1">
      <c r="A55" s="36"/>
      <c r="C55" s="35"/>
      <c r="D55" s="2"/>
      <c r="E55" s="37">
        <f>SUM(E5:E54)</f>
        <v>4.408213139</v>
      </c>
      <c r="F55" s="2"/>
      <c r="G55" s="2"/>
      <c r="H55" s="38">
        <f>SUM(H5:H54)</f>
        <v>0</v>
      </c>
      <c r="I55" s="2"/>
      <c r="J55" s="2"/>
      <c r="K55" s="38">
        <f>SUM(K5:K54)</f>
        <v>0</v>
      </c>
      <c r="L55" s="2"/>
      <c r="M55" s="2"/>
      <c r="N55" s="38">
        <f>SUM(N5:N54)</f>
        <v>1.271262169</v>
      </c>
      <c r="O55" s="35"/>
      <c r="P55" s="2"/>
      <c r="Q55" s="2"/>
      <c r="R55" s="2"/>
      <c r="S55" s="2"/>
      <c r="T55" s="38">
        <f>SUM(T5:T54)</f>
        <v>0.3101737499</v>
      </c>
      <c r="U55" s="3">
        <f>AVERAGE(U5:U54)</f>
        <v>14.20036686</v>
      </c>
      <c r="V55" s="3"/>
      <c r="W55" s="3"/>
      <c r="X55" s="3"/>
      <c r="Y55" s="3"/>
      <c r="Z55" s="3"/>
      <c r="AA55" s="3"/>
      <c r="AB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2"/>
      <c r="J56" s="2"/>
      <c r="K56" s="2"/>
      <c r="L56" s="2"/>
      <c r="M56" s="2"/>
      <c r="N56" s="2"/>
      <c r="O56" s="35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ht="15.75" customHeight="1">
      <c r="A57" s="36"/>
      <c r="C57" s="35"/>
      <c r="D57" s="2"/>
      <c r="E57" s="39"/>
      <c r="F57" s="2"/>
      <c r="G57" s="2"/>
      <c r="H57" s="2"/>
      <c r="I57" s="2"/>
      <c r="J57" s="2"/>
      <c r="K57" s="2"/>
      <c r="L57" s="2"/>
      <c r="M57" s="2"/>
      <c r="N57" s="2"/>
      <c r="O57" s="35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ht="15.75" customHeight="1">
      <c r="A58" s="36"/>
      <c r="C58" s="35"/>
      <c r="D58" s="2"/>
      <c r="E58" s="39"/>
      <c r="F58" s="2"/>
      <c r="G58" s="2"/>
      <c r="H58" s="2"/>
      <c r="I58" s="2"/>
      <c r="J58" s="2"/>
      <c r="K58" s="2"/>
      <c r="L58" s="2"/>
      <c r="M58" s="2"/>
      <c r="N58" s="2"/>
      <c r="O58" s="35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ht="15.75" customHeight="1">
      <c r="A59" s="36"/>
      <c r="C59" s="35"/>
      <c r="D59" s="2"/>
      <c r="E59" s="39"/>
      <c r="F59" s="2"/>
      <c r="G59" s="2"/>
      <c r="H59" s="2"/>
      <c r="I59" s="2"/>
      <c r="J59" s="2"/>
      <c r="K59" s="2"/>
      <c r="L59" s="2"/>
      <c r="M59" s="2"/>
      <c r="N59" s="2"/>
      <c r="O59" s="35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ht="15.75" customHeight="1">
      <c r="A60" s="36"/>
      <c r="C60" s="35"/>
      <c r="D60" s="2"/>
      <c r="E60" s="39"/>
      <c r="F60" s="2"/>
      <c r="G60" s="2"/>
      <c r="H60" s="2"/>
      <c r="I60" s="2"/>
      <c r="J60" s="2"/>
      <c r="K60" s="2"/>
      <c r="L60" s="2"/>
      <c r="M60" s="2"/>
      <c r="N60" s="2"/>
      <c r="O60" s="35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ht="15.75" customHeight="1">
      <c r="A61" s="36"/>
      <c r="C61" s="35"/>
      <c r="D61" s="2"/>
      <c r="E61" s="39"/>
      <c r="F61" s="2"/>
      <c r="G61" s="2"/>
      <c r="H61" s="2"/>
      <c r="I61" s="2"/>
      <c r="J61" s="2"/>
      <c r="K61" s="2"/>
      <c r="L61" s="2"/>
      <c r="M61" s="2"/>
      <c r="N61" s="2"/>
      <c r="O61" s="35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ht="15.75" customHeight="1">
      <c r="A62" s="36"/>
      <c r="C62" s="35"/>
      <c r="D62" s="2"/>
      <c r="E62" s="39">
        <f>((50-1)*100)/50</f>
        <v>98</v>
      </c>
      <c r="F62" s="2"/>
      <c r="G62" s="2"/>
      <c r="H62" s="2"/>
      <c r="I62" s="2"/>
      <c r="J62" s="2"/>
      <c r="K62" s="2"/>
      <c r="L62" s="2"/>
      <c r="M62" s="2"/>
      <c r="N62" s="2"/>
      <c r="O62" s="35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ht="15.75" customHeight="1">
      <c r="A63" s="36"/>
      <c r="C63" s="35"/>
      <c r="D63" s="2"/>
      <c r="E63" s="39"/>
      <c r="F63" s="2"/>
      <c r="G63" s="2"/>
      <c r="H63" s="2"/>
      <c r="I63" s="2"/>
      <c r="J63" s="2"/>
      <c r="K63" s="2"/>
      <c r="L63" s="2"/>
      <c r="M63" s="2"/>
      <c r="N63" s="2"/>
      <c r="O63" s="35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ht="15.75" customHeight="1">
      <c r="A64" s="36"/>
      <c r="C64" s="35"/>
      <c r="D64" s="2"/>
      <c r="E64" s="39"/>
      <c r="F64" s="2"/>
      <c r="G64" s="2"/>
      <c r="H64" s="2"/>
      <c r="I64" s="2"/>
      <c r="J64" s="2"/>
      <c r="K64" s="2"/>
      <c r="L64" s="2"/>
      <c r="M64" s="2"/>
      <c r="N64" s="2"/>
      <c r="O64" s="35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ht="15.75" customHeight="1">
      <c r="A65" s="36"/>
      <c r="C65" s="35"/>
      <c r="D65" s="2"/>
      <c r="E65" s="39"/>
      <c r="F65" s="2"/>
      <c r="G65" s="2"/>
      <c r="H65" s="2"/>
      <c r="I65" s="2"/>
      <c r="J65" s="2"/>
      <c r="K65" s="2"/>
      <c r="L65" s="2"/>
      <c r="M65" s="2"/>
      <c r="N65" s="2"/>
      <c r="O65" s="35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ht="15.75" customHeight="1">
      <c r="A66" s="36"/>
      <c r="C66" s="35"/>
      <c r="D66" s="2"/>
      <c r="E66" s="39"/>
      <c r="F66" s="2"/>
      <c r="G66" s="2"/>
      <c r="H66" s="2"/>
      <c r="I66" s="2"/>
      <c r="J66" s="2"/>
      <c r="K66" s="2"/>
      <c r="L66" s="2"/>
      <c r="M66" s="2"/>
      <c r="N66" s="2"/>
      <c r="O66" s="35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ht="15.75" customHeight="1">
      <c r="A67" s="36"/>
      <c r="C67" s="35"/>
      <c r="D67" s="2"/>
      <c r="E67" s="39"/>
      <c r="F67" s="2"/>
      <c r="G67" s="2"/>
      <c r="H67" s="2"/>
      <c r="I67" s="2"/>
      <c r="J67" s="2"/>
      <c r="K67" s="2"/>
      <c r="L67" s="2"/>
      <c r="M67" s="2"/>
      <c r="N67" s="2"/>
      <c r="O67" s="35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ht="15.75" customHeight="1">
      <c r="A68" s="36"/>
      <c r="C68" s="35"/>
      <c r="D68" s="2"/>
      <c r="E68" s="39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ht="15.75" customHeight="1">
      <c r="A69" s="36"/>
      <c r="C69" s="35"/>
      <c r="D69" s="2"/>
      <c r="E69" s="39"/>
      <c r="F69" s="2"/>
      <c r="G69" s="2"/>
      <c r="H69" s="2"/>
      <c r="I69" s="2"/>
      <c r="J69" s="2"/>
      <c r="K69" s="2"/>
      <c r="L69" s="2"/>
      <c r="M69" s="2"/>
      <c r="N69" s="2"/>
      <c r="O69" s="35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ht="15.75" customHeight="1">
      <c r="A70" s="36"/>
      <c r="C70" s="35"/>
      <c r="D70" s="2"/>
      <c r="E70" s="39"/>
      <c r="F70" s="2"/>
      <c r="G70" s="2"/>
      <c r="H70" s="2"/>
      <c r="I70" s="2"/>
      <c r="J70" s="2"/>
      <c r="K70" s="2"/>
      <c r="L70" s="2"/>
      <c r="M70" s="2"/>
      <c r="N70" s="2"/>
      <c r="O70" s="35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ht="15.75" customHeight="1">
      <c r="A71" s="36"/>
      <c r="C71" s="35"/>
      <c r="D71" s="2"/>
      <c r="E71" s="39"/>
      <c r="F71" s="2"/>
      <c r="G71" s="2"/>
      <c r="H71" s="2"/>
      <c r="I71" s="2"/>
      <c r="J71" s="2"/>
      <c r="K71" s="2"/>
      <c r="L71" s="2"/>
      <c r="M71" s="2"/>
      <c r="N71" s="2"/>
      <c r="O71" s="35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ht="15.75" customHeight="1">
      <c r="A72" s="36"/>
      <c r="C72" s="35"/>
      <c r="D72" s="2"/>
      <c r="E72" s="39"/>
      <c r="F72" s="2"/>
      <c r="G72" s="2"/>
      <c r="H72" s="2"/>
      <c r="I72" s="2"/>
      <c r="J72" s="2"/>
      <c r="K72" s="2"/>
      <c r="L72" s="2"/>
      <c r="M72" s="2"/>
      <c r="N72" s="2"/>
      <c r="O72" s="35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ht="15.75" customHeight="1">
      <c r="A73" s="36"/>
      <c r="C73" s="35"/>
      <c r="D73" s="2"/>
      <c r="E73" s="39"/>
      <c r="F73" s="2"/>
      <c r="G73" s="2"/>
      <c r="H73" s="2"/>
      <c r="I73" s="2"/>
      <c r="J73" s="2"/>
      <c r="K73" s="2"/>
      <c r="L73" s="2"/>
      <c r="M73" s="2"/>
      <c r="N73" s="2"/>
      <c r="O73" s="35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ht="15.75" customHeight="1">
      <c r="A74" s="36"/>
      <c r="C74" s="35"/>
      <c r="D74" s="2"/>
      <c r="E74" s="39"/>
      <c r="F74" s="2"/>
      <c r="G74" s="2"/>
      <c r="H74" s="2"/>
      <c r="I74" s="2"/>
      <c r="J74" s="2"/>
      <c r="K74" s="2"/>
      <c r="L74" s="2"/>
      <c r="M74" s="2"/>
      <c r="N74" s="2"/>
      <c r="O74" s="35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ht="15.75" customHeight="1">
      <c r="A75" s="36"/>
      <c r="C75" s="35"/>
      <c r="D75" s="2"/>
      <c r="E75" s="39"/>
      <c r="F75" s="2"/>
      <c r="G75" s="2"/>
      <c r="H75" s="2"/>
      <c r="I75" s="2"/>
      <c r="J75" s="2"/>
      <c r="K75" s="2"/>
      <c r="L75" s="2"/>
      <c r="M75" s="2"/>
      <c r="N75" s="2"/>
      <c r="O75" s="35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ht="15.75" customHeight="1">
      <c r="A76" s="36"/>
      <c r="C76" s="35"/>
      <c r="D76" s="2"/>
      <c r="E76" s="39"/>
      <c r="F76" s="2"/>
      <c r="G76" s="2"/>
      <c r="H76" s="2"/>
      <c r="I76" s="2"/>
      <c r="J76" s="2"/>
      <c r="K76" s="2"/>
      <c r="L76" s="2"/>
      <c r="M76" s="2"/>
      <c r="N76" s="2"/>
      <c r="O76" s="35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ht="15.75" customHeight="1">
      <c r="A77" s="36"/>
      <c r="C77" s="35"/>
      <c r="D77" s="2"/>
      <c r="E77" s="39"/>
      <c r="F77" s="2"/>
      <c r="G77" s="2"/>
      <c r="H77" s="2"/>
      <c r="I77" s="2"/>
      <c r="J77" s="2"/>
      <c r="K77" s="2"/>
      <c r="L77" s="2"/>
      <c r="M77" s="2"/>
      <c r="N77" s="2"/>
      <c r="O77" s="35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ht="15.75" customHeight="1">
      <c r="A78" s="36"/>
      <c r="C78" s="35"/>
      <c r="D78" s="2"/>
      <c r="E78" s="39"/>
      <c r="F78" s="2"/>
      <c r="G78" s="2"/>
      <c r="H78" s="2"/>
      <c r="I78" s="2"/>
      <c r="J78" s="2"/>
      <c r="K78" s="2"/>
      <c r="L78" s="2"/>
      <c r="M78" s="2"/>
      <c r="N78" s="2"/>
      <c r="O78" s="35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ht="15.75" customHeight="1">
      <c r="A79" s="36"/>
      <c r="C79" s="35"/>
      <c r="D79" s="2"/>
      <c r="E79" s="39"/>
      <c r="F79" s="2"/>
      <c r="G79" s="2"/>
      <c r="H79" s="2"/>
      <c r="I79" s="2"/>
      <c r="J79" s="2"/>
      <c r="K79" s="2"/>
      <c r="L79" s="2"/>
      <c r="M79" s="2"/>
      <c r="N79" s="2"/>
      <c r="O79" s="35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ht="15.75" customHeight="1">
      <c r="A80" s="36"/>
      <c r="C80" s="35"/>
      <c r="D80" s="2"/>
      <c r="E80" s="39"/>
      <c r="F80" s="2"/>
      <c r="G80" s="2"/>
      <c r="H80" s="2"/>
      <c r="I80" s="2"/>
      <c r="J80" s="2"/>
      <c r="K80" s="2"/>
      <c r="L80" s="2"/>
      <c r="M80" s="2"/>
      <c r="N80" s="2"/>
      <c r="O80" s="35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ht="15.75" customHeight="1">
      <c r="A81" s="36"/>
      <c r="C81" s="35"/>
      <c r="D81" s="2"/>
      <c r="E81" s="39"/>
      <c r="F81" s="2"/>
      <c r="G81" s="2"/>
      <c r="H81" s="2"/>
      <c r="I81" s="2"/>
      <c r="J81" s="2"/>
      <c r="K81" s="2"/>
      <c r="L81" s="2"/>
      <c r="M81" s="2"/>
      <c r="N81" s="2"/>
      <c r="O81" s="35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ht="15.75" customHeight="1">
      <c r="A82" s="36"/>
      <c r="C82" s="35"/>
      <c r="D82" s="2"/>
      <c r="E82" s="39"/>
      <c r="F82" s="2"/>
      <c r="G82" s="2"/>
      <c r="H82" s="2"/>
      <c r="I82" s="2"/>
      <c r="J82" s="2"/>
      <c r="K82" s="2"/>
      <c r="L82" s="2"/>
      <c r="M82" s="2"/>
      <c r="N82" s="2"/>
      <c r="O82" s="35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ht="15.75" customHeight="1">
      <c r="A83" s="36"/>
      <c r="C83" s="35"/>
      <c r="D83" s="2"/>
      <c r="E83" s="39"/>
      <c r="F83" s="2"/>
      <c r="G83" s="2"/>
      <c r="H83" s="2"/>
      <c r="I83" s="2"/>
      <c r="J83" s="2"/>
      <c r="K83" s="2"/>
      <c r="L83" s="2"/>
      <c r="M83" s="2"/>
      <c r="N83" s="2"/>
      <c r="O83" s="35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ht="15.75" customHeight="1">
      <c r="A84" s="36"/>
      <c r="C84" s="35"/>
      <c r="D84" s="2"/>
      <c r="E84" s="39"/>
      <c r="F84" s="2"/>
      <c r="G84" s="2"/>
      <c r="H84" s="2"/>
      <c r="I84" s="2"/>
      <c r="J84" s="2"/>
      <c r="K84" s="2"/>
      <c r="L84" s="2"/>
      <c r="M84" s="2"/>
      <c r="N84" s="2"/>
      <c r="O84" s="35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ht="15.75" customHeight="1">
      <c r="A85" s="36"/>
      <c r="C85" s="35"/>
      <c r="D85" s="2"/>
      <c r="E85" s="39"/>
      <c r="F85" s="2"/>
      <c r="G85" s="2"/>
      <c r="H85" s="2"/>
      <c r="I85" s="2"/>
      <c r="J85" s="2"/>
      <c r="K85" s="2"/>
      <c r="L85" s="2"/>
      <c r="M85" s="2"/>
      <c r="N85" s="2"/>
      <c r="O85" s="35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ht="15.75" customHeight="1">
      <c r="A86" s="36"/>
      <c r="C86" s="35"/>
      <c r="D86" s="2"/>
      <c r="E86" s="39"/>
      <c r="F86" s="2"/>
      <c r="G86" s="2"/>
      <c r="H86" s="2"/>
      <c r="I86" s="2"/>
      <c r="J86" s="2"/>
      <c r="K86" s="2"/>
      <c r="L86" s="2"/>
      <c r="M86" s="2"/>
      <c r="N86" s="2"/>
      <c r="O86" s="35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ht="15.75" customHeight="1">
      <c r="A87" s="36"/>
      <c r="C87" s="35"/>
      <c r="D87" s="2"/>
      <c r="E87" s="39"/>
      <c r="F87" s="2"/>
      <c r="G87" s="2"/>
      <c r="H87" s="2"/>
      <c r="I87" s="2"/>
      <c r="J87" s="2"/>
      <c r="K87" s="2"/>
      <c r="L87" s="2"/>
      <c r="M87" s="2"/>
      <c r="N87" s="2"/>
      <c r="O87" s="35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ht="15.75" customHeight="1">
      <c r="A88" s="36"/>
      <c r="C88" s="35"/>
      <c r="D88" s="2"/>
      <c r="E88" s="39"/>
      <c r="F88" s="2"/>
      <c r="G88" s="2"/>
      <c r="H88" s="2"/>
      <c r="I88" s="2"/>
      <c r="J88" s="2"/>
      <c r="K88" s="2"/>
      <c r="L88" s="2"/>
      <c r="M88" s="2"/>
      <c r="N88" s="2"/>
      <c r="O88" s="35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ht="15.75" customHeight="1">
      <c r="A89" s="36"/>
      <c r="C89" s="35"/>
      <c r="D89" s="2"/>
      <c r="E89" s="39"/>
      <c r="F89" s="2"/>
      <c r="G89" s="2"/>
      <c r="H89" s="2"/>
      <c r="I89" s="2"/>
      <c r="J89" s="2"/>
      <c r="K89" s="2"/>
      <c r="L89" s="2"/>
      <c r="M89" s="2"/>
      <c r="N89" s="2"/>
      <c r="O89" s="35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ht="15.75" customHeight="1">
      <c r="A90" s="36"/>
      <c r="C90" s="35"/>
      <c r="D90" s="2"/>
      <c r="E90" s="39"/>
      <c r="F90" s="2"/>
      <c r="G90" s="2"/>
      <c r="H90" s="2"/>
      <c r="I90" s="2"/>
      <c r="J90" s="2"/>
      <c r="K90" s="2"/>
      <c r="L90" s="2"/>
      <c r="M90" s="2"/>
      <c r="N90" s="2"/>
      <c r="O90" s="35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ht="15.75" customHeight="1">
      <c r="A91" s="36"/>
      <c r="C91" s="35"/>
      <c r="D91" s="2"/>
      <c r="E91" s="39"/>
      <c r="F91" s="2"/>
      <c r="G91" s="2"/>
      <c r="H91" s="2"/>
      <c r="I91" s="2"/>
      <c r="J91" s="2"/>
      <c r="K91" s="2"/>
      <c r="L91" s="2"/>
      <c r="M91" s="2"/>
      <c r="N91" s="2"/>
      <c r="O91" s="35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ht="15.75" customHeight="1">
      <c r="A92" s="36"/>
      <c r="C92" s="35"/>
      <c r="D92" s="2"/>
      <c r="E92" s="39"/>
      <c r="F92" s="2"/>
      <c r="G92" s="2"/>
      <c r="H92" s="2"/>
      <c r="I92" s="2"/>
      <c r="J92" s="2"/>
      <c r="K92" s="2"/>
      <c r="L92" s="2"/>
      <c r="M92" s="2"/>
      <c r="N92" s="2"/>
      <c r="O92" s="35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ht="15.75" customHeight="1">
      <c r="A93" s="36"/>
      <c r="C93" s="35"/>
      <c r="D93" s="2"/>
      <c r="E93" s="39"/>
      <c r="F93" s="2"/>
      <c r="G93" s="2"/>
      <c r="H93" s="2"/>
      <c r="I93" s="2"/>
      <c r="J93" s="2"/>
      <c r="K93" s="2"/>
      <c r="L93" s="2"/>
      <c r="M93" s="2"/>
      <c r="N93" s="2"/>
      <c r="O93" s="35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ht="15.75" customHeight="1">
      <c r="A94" s="36"/>
      <c r="C94" s="35"/>
      <c r="D94" s="2"/>
      <c r="E94" s="39"/>
      <c r="F94" s="2"/>
      <c r="G94" s="2"/>
      <c r="H94" s="2"/>
      <c r="I94" s="2"/>
      <c r="J94" s="2"/>
      <c r="K94" s="2"/>
      <c r="L94" s="2"/>
      <c r="M94" s="2"/>
      <c r="N94" s="2"/>
      <c r="O94" s="35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ht="15.75" customHeight="1">
      <c r="A95" s="36"/>
      <c r="C95" s="35"/>
      <c r="D95" s="2"/>
      <c r="E95" s="39"/>
      <c r="F95" s="2"/>
      <c r="G95" s="2"/>
      <c r="H95" s="2"/>
      <c r="I95" s="2"/>
      <c r="J95" s="2"/>
      <c r="K95" s="2"/>
      <c r="L95" s="2"/>
      <c r="M95" s="2"/>
      <c r="N95" s="2"/>
      <c r="O95" s="35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ht="15.75" customHeight="1">
      <c r="A96" s="36"/>
      <c r="C96" s="35"/>
      <c r="D96" s="2"/>
      <c r="E96" s="39"/>
      <c r="F96" s="2"/>
      <c r="G96" s="2"/>
      <c r="H96" s="2"/>
      <c r="I96" s="2"/>
      <c r="J96" s="2"/>
      <c r="K96" s="2"/>
      <c r="L96" s="2"/>
      <c r="M96" s="2"/>
      <c r="N96" s="2"/>
      <c r="O96" s="35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ht="15.75" customHeight="1">
      <c r="A97" s="36"/>
      <c r="C97" s="35"/>
      <c r="D97" s="2"/>
      <c r="E97" s="39"/>
      <c r="F97" s="2"/>
      <c r="G97" s="2"/>
      <c r="H97" s="2"/>
      <c r="I97" s="2"/>
      <c r="J97" s="2"/>
      <c r="K97" s="2"/>
      <c r="L97" s="2"/>
      <c r="M97" s="2"/>
      <c r="N97" s="2"/>
      <c r="O97" s="35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ht="15.75" customHeight="1">
      <c r="A98" s="36"/>
      <c r="C98" s="35"/>
      <c r="D98" s="2"/>
      <c r="E98" s="39"/>
      <c r="F98" s="2"/>
      <c r="G98" s="2"/>
      <c r="H98" s="2"/>
      <c r="I98" s="2"/>
      <c r="J98" s="2"/>
      <c r="K98" s="2"/>
      <c r="L98" s="2"/>
      <c r="M98" s="2"/>
      <c r="N98" s="2"/>
      <c r="O98" s="35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ht="15.75" customHeight="1">
      <c r="A99" s="36"/>
      <c r="C99" s="35"/>
      <c r="D99" s="2"/>
      <c r="E99" s="39"/>
      <c r="F99" s="2"/>
      <c r="G99" s="2"/>
      <c r="H99" s="2"/>
      <c r="I99" s="2"/>
      <c r="J99" s="2"/>
      <c r="K99" s="2"/>
      <c r="L99" s="2"/>
      <c r="M99" s="2"/>
      <c r="N99" s="2"/>
      <c r="O99" s="35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ht="15.75" customHeight="1">
      <c r="A100" s="36"/>
      <c r="C100" s="35"/>
      <c r="D100" s="2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35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ht="15.75" customHeight="1">
      <c r="A101" s="36"/>
      <c r="C101" s="35"/>
      <c r="D101" s="2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35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ht="15.75" customHeight="1">
      <c r="A102" s="36"/>
      <c r="C102" s="35"/>
      <c r="D102" s="2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35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ht="15.75" customHeight="1">
      <c r="A103" s="36"/>
      <c r="C103" s="35"/>
      <c r="D103" s="2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35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35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35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35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35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35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35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35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35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35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35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35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35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35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35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35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35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35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35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35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35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35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35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35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35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35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35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35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35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2"/>
      <c r="J132" s="2"/>
      <c r="K132" s="2"/>
      <c r="L132" s="2"/>
      <c r="M132" s="2"/>
      <c r="N132" s="2"/>
      <c r="O132" s="35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2"/>
      <c r="J133" s="2"/>
      <c r="K133" s="2"/>
      <c r="L133" s="2"/>
      <c r="M133" s="2"/>
      <c r="N133" s="2"/>
      <c r="O133" s="35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2"/>
      <c r="J134" s="2"/>
      <c r="K134" s="2"/>
      <c r="L134" s="2"/>
      <c r="M134" s="2"/>
      <c r="N134" s="2"/>
      <c r="O134" s="35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2"/>
      <c r="J135" s="2"/>
      <c r="K135" s="2"/>
      <c r="L135" s="2"/>
      <c r="M135" s="2"/>
      <c r="N135" s="2"/>
      <c r="O135" s="35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2"/>
      <c r="J136" s="2"/>
      <c r="K136" s="2"/>
      <c r="L136" s="2"/>
      <c r="M136" s="2"/>
      <c r="N136" s="2"/>
      <c r="O136" s="35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2"/>
      <c r="J137" s="2"/>
      <c r="K137" s="2"/>
      <c r="L137" s="2"/>
      <c r="M137" s="2"/>
      <c r="N137" s="2"/>
      <c r="O137" s="35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2"/>
      <c r="J138" s="2"/>
      <c r="K138" s="2"/>
      <c r="L138" s="2"/>
      <c r="M138" s="2"/>
      <c r="N138" s="2"/>
      <c r="O138" s="35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2"/>
      <c r="J139" s="2"/>
      <c r="K139" s="2"/>
      <c r="L139" s="2"/>
      <c r="M139" s="2"/>
      <c r="N139" s="2"/>
      <c r="O139" s="35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2"/>
      <c r="J140" s="2"/>
      <c r="K140" s="2"/>
      <c r="L140" s="2"/>
      <c r="M140" s="2"/>
      <c r="N140" s="2"/>
      <c r="O140" s="35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2"/>
      <c r="J141" s="2"/>
      <c r="K141" s="2"/>
      <c r="L141" s="2"/>
      <c r="M141" s="2"/>
      <c r="N141" s="2"/>
      <c r="O141" s="35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2"/>
      <c r="J142" s="2"/>
      <c r="K142" s="2"/>
      <c r="L142" s="2"/>
      <c r="M142" s="2"/>
      <c r="N142" s="2"/>
      <c r="O142" s="35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2"/>
      <c r="J143" s="2"/>
      <c r="K143" s="2"/>
      <c r="L143" s="2"/>
      <c r="M143" s="2"/>
      <c r="N143" s="2"/>
      <c r="O143" s="35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2"/>
      <c r="J144" s="2"/>
      <c r="K144" s="2"/>
      <c r="L144" s="2"/>
      <c r="M144" s="2"/>
      <c r="N144" s="2"/>
      <c r="O144" s="35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2"/>
      <c r="J145" s="2"/>
      <c r="K145" s="2"/>
      <c r="L145" s="2"/>
      <c r="M145" s="2"/>
      <c r="N145" s="2"/>
      <c r="O145" s="35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2"/>
      <c r="J146" s="2"/>
      <c r="K146" s="2"/>
      <c r="L146" s="2"/>
      <c r="M146" s="2"/>
      <c r="N146" s="2"/>
      <c r="O146" s="35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2"/>
      <c r="J147" s="2"/>
      <c r="K147" s="2"/>
      <c r="L147" s="2"/>
      <c r="M147" s="2"/>
      <c r="N147" s="2"/>
      <c r="O147" s="35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2"/>
      <c r="J148" s="2"/>
      <c r="K148" s="2"/>
      <c r="L148" s="2"/>
      <c r="M148" s="2"/>
      <c r="N148" s="2"/>
      <c r="O148" s="35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2"/>
      <c r="J149" s="2"/>
      <c r="K149" s="2"/>
      <c r="L149" s="2"/>
      <c r="M149" s="2"/>
      <c r="N149" s="2"/>
      <c r="O149" s="35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2"/>
      <c r="J150" s="2"/>
      <c r="K150" s="2"/>
      <c r="L150" s="2"/>
      <c r="M150" s="2"/>
      <c r="N150" s="2"/>
      <c r="O150" s="35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2"/>
      <c r="J151" s="2"/>
      <c r="K151" s="2"/>
      <c r="L151" s="2"/>
      <c r="M151" s="2"/>
      <c r="N151" s="2"/>
      <c r="O151" s="35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2"/>
      <c r="J152" s="2"/>
      <c r="K152" s="2"/>
      <c r="L152" s="2"/>
      <c r="M152" s="2"/>
      <c r="N152" s="2"/>
      <c r="O152" s="35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2"/>
      <c r="J153" s="2"/>
      <c r="K153" s="2"/>
      <c r="L153" s="2"/>
      <c r="M153" s="2"/>
      <c r="N153" s="2"/>
      <c r="O153" s="35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2"/>
      <c r="J154" s="2"/>
      <c r="K154" s="2"/>
      <c r="L154" s="2"/>
      <c r="M154" s="2"/>
      <c r="N154" s="2"/>
      <c r="O154" s="35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2"/>
      <c r="J155" s="2"/>
      <c r="K155" s="2"/>
      <c r="L155" s="2"/>
      <c r="M155" s="2"/>
      <c r="N155" s="2"/>
      <c r="O155" s="35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2"/>
      <c r="J156" s="2"/>
      <c r="K156" s="2"/>
      <c r="L156" s="2"/>
      <c r="M156" s="2"/>
      <c r="N156" s="2"/>
      <c r="O156" s="35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2"/>
      <c r="J157" s="2"/>
      <c r="K157" s="2"/>
      <c r="L157" s="2"/>
      <c r="M157" s="2"/>
      <c r="N157" s="2"/>
      <c r="O157" s="35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2"/>
      <c r="J158" s="2"/>
      <c r="K158" s="2"/>
      <c r="L158" s="2"/>
      <c r="M158" s="2"/>
      <c r="N158" s="2"/>
      <c r="O158" s="35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2"/>
      <c r="J159" s="2"/>
      <c r="K159" s="2"/>
      <c r="L159" s="2"/>
      <c r="M159" s="2"/>
      <c r="N159" s="2"/>
      <c r="O159" s="35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2"/>
      <c r="J160" s="2"/>
      <c r="K160" s="2"/>
      <c r="L160" s="2"/>
      <c r="M160" s="2"/>
      <c r="N160" s="2"/>
      <c r="O160" s="35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2"/>
      <c r="J161" s="2"/>
      <c r="K161" s="2"/>
      <c r="L161" s="2"/>
      <c r="M161" s="2"/>
      <c r="N161" s="2"/>
      <c r="O161" s="35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2"/>
      <c r="J162" s="2"/>
      <c r="K162" s="2"/>
      <c r="L162" s="2"/>
      <c r="M162" s="2"/>
      <c r="N162" s="2"/>
      <c r="O162" s="35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2"/>
      <c r="J163" s="2"/>
      <c r="K163" s="2"/>
      <c r="L163" s="2"/>
      <c r="M163" s="2"/>
      <c r="N163" s="2"/>
      <c r="O163" s="35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2"/>
      <c r="J164" s="2"/>
      <c r="K164" s="2"/>
      <c r="L164" s="2"/>
      <c r="M164" s="2"/>
      <c r="N164" s="2"/>
      <c r="O164" s="35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2"/>
      <c r="J165" s="2"/>
      <c r="K165" s="2"/>
      <c r="L165" s="2"/>
      <c r="M165" s="2"/>
      <c r="N165" s="2"/>
      <c r="O165" s="35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2"/>
      <c r="J166" s="2"/>
      <c r="K166" s="2"/>
      <c r="L166" s="2"/>
      <c r="M166" s="2"/>
      <c r="N166" s="2"/>
      <c r="O166" s="35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2"/>
      <c r="J167" s="2"/>
      <c r="K167" s="2"/>
      <c r="L167" s="2"/>
      <c r="M167" s="2"/>
      <c r="N167" s="2"/>
      <c r="O167" s="35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2"/>
      <c r="J168" s="2"/>
      <c r="K168" s="2"/>
      <c r="L168" s="2"/>
      <c r="M168" s="2"/>
      <c r="N168" s="2"/>
      <c r="O168" s="35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2"/>
      <c r="J169" s="2"/>
      <c r="K169" s="2"/>
      <c r="L169" s="2"/>
      <c r="M169" s="2"/>
      <c r="N169" s="2"/>
      <c r="O169" s="35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2"/>
      <c r="J170" s="2"/>
      <c r="K170" s="2"/>
      <c r="L170" s="2"/>
      <c r="M170" s="2"/>
      <c r="N170" s="2"/>
      <c r="O170" s="35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2"/>
      <c r="J171" s="2"/>
      <c r="K171" s="2"/>
      <c r="L171" s="2"/>
      <c r="M171" s="2"/>
      <c r="N171" s="2"/>
      <c r="O171" s="35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2"/>
      <c r="J172" s="2"/>
      <c r="K172" s="2"/>
      <c r="L172" s="2"/>
      <c r="M172" s="2"/>
      <c r="N172" s="2"/>
      <c r="O172" s="35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35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35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2"/>
      <c r="J175" s="2"/>
      <c r="K175" s="2"/>
      <c r="L175" s="2"/>
      <c r="M175" s="2"/>
      <c r="N175" s="2"/>
      <c r="O175" s="35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2"/>
      <c r="J176" s="2"/>
      <c r="K176" s="2"/>
      <c r="L176" s="2"/>
      <c r="M176" s="2"/>
      <c r="N176" s="2"/>
      <c r="O176" s="35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2"/>
      <c r="J177" s="2"/>
      <c r="K177" s="2"/>
      <c r="L177" s="2"/>
      <c r="M177" s="2"/>
      <c r="N177" s="2"/>
      <c r="O177" s="35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2"/>
      <c r="J178" s="2"/>
      <c r="K178" s="2"/>
      <c r="L178" s="2"/>
      <c r="M178" s="2"/>
      <c r="N178" s="2"/>
      <c r="O178" s="35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35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35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35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35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35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35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35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35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35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2"/>
      <c r="J188" s="2"/>
      <c r="K188" s="2"/>
      <c r="L188" s="2"/>
      <c r="M188" s="2"/>
      <c r="N188" s="2"/>
      <c r="O188" s="35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2"/>
      <c r="J189" s="2"/>
      <c r="K189" s="2"/>
      <c r="L189" s="2"/>
      <c r="M189" s="2"/>
      <c r="N189" s="2"/>
      <c r="O189" s="35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35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35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35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2"/>
      <c r="J194" s="2"/>
      <c r="K194" s="2"/>
      <c r="L194" s="2"/>
      <c r="M194" s="2"/>
      <c r="N194" s="2"/>
      <c r="O194" s="35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2"/>
      <c r="J195" s="2"/>
      <c r="K195" s="2"/>
      <c r="L195" s="2"/>
      <c r="M195" s="2"/>
      <c r="N195" s="2"/>
      <c r="O195" s="35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2"/>
      <c r="J196" s="2"/>
      <c r="K196" s="2"/>
      <c r="L196" s="2"/>
      <c r="M196" s="2"/>
      <c r="N196" s="2"/>
      <c r="O196" s="35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35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35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35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2"/>
      <c r="J200" s="2"/>
      <c r="K200" s="2"/>
      <c r="L200" s="2"/>
      <c r="M200" s="2"/>
      <c r="N200" s="2"/>
      <c r="O200" s="35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2"/>
      <c r="J201" s="2"/>
      <c r="K201" s="2"/>
      <c r="L201" s="2"/>
      <c r="M201" s="2"/>
      <c r="N201" s="2"/>
      <c r="O201" s="35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2"/>
      <c r="J202" s="2"/>
      <c r="K202" s="2"/>
      <c r="L202" s="2"/>
      <c r="M202" s="2"/>
      <c r="N202" s="2"/>
      <c r="O202" s="35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2"/>
      <c r="J203" s="2"/>
      <c r="K203" s="2"/>
      <c r="L203" s="2"/>
      <c r="M203" s="2"/>
      <c r="N203" s="2"/>
      <c r="O203" s="35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2"/>
      <c r="J204" s="2"/>
      <c r="K204" s="2"/>
      <c r="L204" s="2"/>
      <c r="M204" s="2"/>
      <c r="N204" s="2"/>
      <c r="O204" s="35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2"/>
      <c r="J205" s="2"/>
      <c r="K205" s="2"/>
      <c r="L205" s="2"/>
      <c r="M205" s="2"/>
      <c r="N205" s="2"/>
      <c r="O205" s="35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2"/>
      <c r="J206" s="2"/>
      <c r="K206" s="2"/>
      <c r="L206" s="2"/>
      <c r="M206" s="2"/>
      <c r="N206" s="2"/>
      <c r="O206" s="35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35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35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35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2"/>
      <c r="J210" s="2"/>
      <c r="K210" s="2"/>
      <c r="L210" s="2"/>
      <c r="M210" s="2"/>
      <c r="N210" s="2"/>
      <c r="O210" s="35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2"/>
      <c r="J211" s="2"/>
      <c r="K211" s="2"/>
      <c r="L211" s="2"/>
      <c r="M211" s="2"/>
      <c r="N211" s="2"/>
      <c r="O211" s="35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2"/>
      <c r="J212" s="2"/>
      <c r="K212" s="2"/>
      <c r="L212" s="2"/>
      <c r="M212" s="2"/>
      <c r="N212" s="2"/>
      <c r="O212" s="35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2"/>
      <c r="J213" s="2"/>
      <c r="K213" s="2"/>
      <c r="L213" s="2"/>
      <c r="M213" s="2"/>
      <c r="N213" s="2"/>
      <c r="O213" s="35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2"/>
      <c r="J214" s="2"/>
      <c r="K214" s="2"/>
      <c r="L214" s="2"/>
      <c r="M214" s="2"/>
      <c r="N214" s="2"/>
      <c r="O214" s="35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2"/>
      <c r="J215" s="2"/>
      <c r="K215" s="2"/>
      <c r="L215" s="2"/>
      <c r="M215" s="2"/>
      <c r="N215" s="2"/>
      <c r="O215" s="35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2"/>
      <c r="J216" s="2"/>
      <c r="K216" s="2"/>
      <c r="L216" s="2"/>
      <c r="M216" s="2"/>
      <c r="N216" s="2"/>
      <c r="O216" s="35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2"/>
      <c r="J217" s="2"/>
      <c r="K217" s="2"/>
      <c r="L217" s="2"/>
      <c r="M217" s="2"/>
      <c r="N217" s="2"/>
      <c r="O217" s="35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2"/>
      <c r="J218" s="2"/>
      <c r="K218" s="2"/>
      <c r="L218" s="2"/>
      <c r="M218" s="2"/>
      <c r="N218" s="2"/>
      <c r="O218" s="35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2"/>
      <c r="J219" s="2"/>
      <c r="K219" s="2"/>
      <c r="L219" s="2"/>
      <c r="M219" s="2"/>
      <c r="N219" s="2"/>
      <c r="O219" s="35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2"/>
      <c r="J220" s="2"/>
      <c r="K220" s="2"/>
      <c r="L220" s="2"/>
      <c r="M220" s="2"/>
      <c r="N220" s="2"/>
      <c r="O220" s="35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2"/>
      <c r="J221" s="2"/>
      <c r="K221" s="2"/>
      <c r="L221" s="2"/>
      <c r="M221" s="2"/>
      <c r="N221" s="2"/>
      <c r="O221" s="35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2"/>
      <c r="J222" s="2"/>
      <c r="K222" s="2"/>
      <c r="L222" s="2"/>
      <c r="M222" s="2"/>
      <c r="N222" s="2"/>
      <c r="O222" s="35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2"/>
      <c r="J223" s="2"/>
      <c r="K223" s="2"/>
      <c r="L223" s="2"/>
      <c r="M223" s="2"/>
      <c r="N223" s="2"/>
      <c r="O223" s="35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2"/>
      <c r="J224" s="2"/>
      <c r="K224" s="2"/>
      <c r="L224" s="2"/>
      <c r="M224" s="2"/>
      <c r="N224" s="2"/>
      <c r="O224" s="35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2"/>
      <c r="J225" s="2"/>
      <c r="K225" s="2"/>
      <c r="L225" s="2"/>
      <c r="M225" s="2"/>
      <c r="N225" s="2"/>
      <c r="O225" s="35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2"/>
      <c r="J226" s="2"/>
      <c r="K226" s="2"/>
      <c r="L226" s="2"/>
      <c r="M226" s="2"/>
      <c r="N226" s="2"/>
      <c r="O226" s="35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2"/>
      <c r="J227" s="2"/>
      <c r="K227" s="2"/>
      <c r="L227" s="2"/>
      <c r="M227" s="2"/>
      <c r="N227" s="2"/>
      <c r="O227" s="35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2"/>
      <c r="J228" s="2"/>
      <c r="K228" s="2"/>
      <c r="L228" s="2"/>
      <c r="M228" s="2"/>
      <c r="N228" s="2"/>
      <c r="O228" s="35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2"/>
      <c r="J229" s="2"/>
      <c r="K229" s="2"/>
      <c r="L229" s="2"/>
      <c r="M229" s="2"/>
      <c r="N229" s="2"/>
      <c r="O229" s="35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2"/>
      <c r="J230" s="2"/>
      <c r="K230" s="2"/>
      <c r="L230" s="2"/>
      <c r="M230" s="2"/>
      <c r="N230" s="2"/>
      <c r="O230" s="35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2"/>
      <c r="J231" s="2"/>
      <c r="K231" s="2"/>
      <c r="L231" s="2"/>
      <c r="M231" s="2"/>
      <c r="N231" s="2"/>
      <c r="O231" s="35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2"/>
      <c r="J232" s="2"/>
      <c r="K232" s="2"/>
      <c r="L232" s="2"/>
      <c r="M232" s="2"/>
      <c r="N232" s="2"/>
      <c r="O232" s="35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2"/>
      <c r="J233" s="2"/>
      <c r="K233" s="2"/>
      <c r="L233" s="2"/>
      <c r="M233" s="2"/>
      <c r="N233" s="2"/>
      <c r="O233" s="35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2"/>
      <c r="J234" s="2"/>
      <c r="K234" s="2"/>
      <c r="L234" s="2"/>
      <c r="M234" s="2"/>
      <c r="N234" s="2"/>
      <c r="O234" s="35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2"/>
      <c r="J235" s="2"/>
      <c r="K235" s="2"/>
      <c r="L235" s="2"/>
      <c r="M235" s="2"/>
      <c r="N235" s="2"/>
      <c r="O235" s="35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2"/>
      <c r="J236" s="2"/>
      <c r="K236" s="2"/>
      <c r="L236" s="2"/>
      <c r="M236" s="2"/>
      <c r="N236" s="2"/>
      <c r="O236" s="35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2"/>
      <c r="J237" s="2"/>
      <c r="K237" s="2"/>
      <c r="L237" s="2"/>
      <c r="M237" s="2"/>
      <c r="N237" s="2"/>
      <c r="O237" s="35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2"/>
      <c r="J238" s="2"/>
      <c r="K238" s="2"/>
      <c r="L238" s="2"/>
      <c r="M238" s="2"/>
      <c r="N238" s="2"/>
      <c r="O238" s="35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2"/>
      <c r="J239" s="2"/>
      <c r="K239" s="2"/>
      <c r="L239" s="2"/>
      <c r="M239" s="2"/>
      <c r="N239" s="2"/>
      <c r="O239" s="35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2"/>
      <c r="J240" s="2"/>
      <c r="K240" s="2"/>
      <c r="L240" s="2"/>
      <c r="M240" s="2"/>
      <c r="N240" s="2"/>
      <c r="O240" s="35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2"/>
      <c r="J241" s="2"/>
      <c r="K241" s="2"/>
      <c r="L241" s="2"/>
      <c r="M241" s="2"/>
      <c r="N241" s="2"/>
      <c r="O241" s="35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35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35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35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35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35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35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2"/>
      <c r="J248" s="2"/>
      <c r="K248" s="2"/>
      <c r="L248" s="2"/>
      <c r="M248" s="2"/>
      <c r="N248" s="2"/>
      <c r="O248" s="35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2"/>
      <c r="J249" s="2"/>
      <c r="K249" s="2"/>
      <c r="L249" s="2"/>
      <c r="M249" s="2"/>
      <c r="N249" s="2"/>
      <c r="O249" s="35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2"/>
      <c r="J250" s="2"/>
      <c r="K250" s="2"/>
      <c r="L250" s="2"/>
      <c r="M250" s="2"/>
      <c r="N250" s="2"/>
      <c r="O250" s="35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2"/>
      <c r="J251" s="2"/>
      <c r="K251" s="2"/>
      <c r="L251" s="2"/>
      <c r="M251" s="2"/>
      <c r="N251" s="2"/>
      <c r="O251" s="35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35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35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35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0"/>
    </row>
    <row r="256" ht="14.25" customHeight="1">
      <c r="A256" s="40"/>
      <c r="B256" s="3"/>
      <c r="C256" s="3"/>
      <c r="D256" s="3"/>
      <c r="E256" s="4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40"/>
    </row>
    <row r="257" ht="14.25" customHeight="1">
      <c r="A257" s="40"/>
      <c r="B257" s="3"/>
      <c r="C257" s="3"/>
      <c r="D257" s="3"/>
      <c r="E257" s="4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40"/>
    </row>
    <row r="258" ht="14.25" customHeight="1">
      <c r="A258" s="40"/>
      <c r="B258" s="3"/>
      <c r="C258" s="3"/>
      <c r="D258" s="3"/>
      <c r="E258" s="4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40"/>
    </row>
    <row r="259" ht="14.25" customHeight="1">
      <c r="A259" s="40"/>
      <c r="B259" s="3"/>
      <c r="C259" s="3"/>
      <c r="D259" s="3"/>
      <c r="E259" s="4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40"/>
    </row>
    <row r="260" ht="14.25" customHeight="1">
      <c r="A260" s="40"/>
      <c r="B260" s="3"/>
      <c r="C260" s="3"/>
      <c r="D260" s="3"/>
      <c r="E260" s="4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40"/>
    </row>
    <row r="261" ht="14.25" customHeight="1">
      <c r="A261" s="40"/>
      <c r="B261" s="3"/>
      <c r="C261" s="3"/>
      <c r="D261" s="3"/>
      <c r="E261" s="4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40"/>
    </row>
    <row r="262" ht="14.25" customHeight="1">
      <c r="A262" s="40"/>
      <c r="B262" s="3"/>
      <c r="C262" s="3"/>
      <c r="D262" s="3"/>
      <c r="E262" s="4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40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C3:E3"/>
    <mergeCell ref="F3:H3"/>
    <mergeCell ref="I3:K3"/>
    <mergeCell ref="L3:N3"/>
    <mergeCell ref="O3:Q3"/>
    <mergeCell ref="R3:T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hidden="1" min="6" max="6" width="22.43"/>
    <col customWidth="1" hidden="1" min="7" max="7" width="19.43"/>
    <col customWidth="1" hidden="1" min="8" max="8" width="19.29"/>
    <col customWidth="1" hidden="1" min="9" max="9" width="32.86"/>
    <col customWidth="1" hidden="1" min="10" max="10" width="19.43"/>
    <col customWidth="1" hidden="1" min="11" max="11" width="19.29"/>
    <col customWidth="1" min="12" max="12" width="32.86"/>
    <col customWidth="1" min="13" max="14" width="19.29"/>
    <col customWidth="1" hidden="1" min="15" max="15" width="31.71"/>
    <col customWidth="1" hidden="1" min="16" max="16" width="28.14"/>
    <col customWidth="1" hidden="1" min="17" max="17" width="27.86"/>
    <col customWidth="1" min="18" max="18" width="32.86"/>
    <col customWidth="1" min="19" max="20" width="19.29"/>
    <col customWidth="1" min="21" max="28" width="13.57"/>
  </cols>
  <sheetData>
    <row r="1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  <c r="AA1" s="3"/>
      <c r="AB1" s="4"/>
    </row>
    <row r="2">
      <c r="A2" s="5" t="s">
        <v>618</v>
      </c>
      <c r="D2" s="5" t="s">
        <v>1</v>
      </c>
      <c r="E2" s="1">
        <v>1.0E7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6"/>
    </row>
    <row r="3">
      <c r="A3" s="7"/>
      <c r="B3" s="7"/>
      <c r="C3" s="8" t="s">
        <v>2</v>
      </c>
      <c r="D3" s="9"/>
      <c r="E3" s="10"/>
      <c r="F3" s="11" t="s">
        <v>3</v>
      </c>
      <c r="G3" s="9"/>
      <c r="H3" s="10"/>
      <c r="I3" s="12" t="s">
        <v>4</v>
      </c>
      <c r="J3" s="9"/>
      <c r="K3" s="10"/>
      <c r="L3" s="13" t="s">
        <v>619</v>
      </c>
      <c r="M3" s="9"/>
      <c r="N3" s="10"/>
      <c r="O3" s="14" t="s">
        <v>5</v>
      </c>
      <c r="P3" s="9"/>
      <c r="Q3" s="10"/>
      <c r="R3" s="15" t="s">
        <v>6</v>
      </c>
      <c r="S3" s="9"/>
      <c r="T3" s="10"/>
      <c r="U3" s="3"/>
      <c r="V3" s="3"/>
      <c r="W3" s="3"/>
      <c r="X3" s="3"/>
      <c r="Y3" s="3"/>
      <c r="Z3" s="3"/>
      <c r="AA3" s="3"/>
      <c r="AB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18" t="s">
        <v>12</v>
      </c>
      <c r="G4" s="18" t="s">
        <v>13</v>
      </c>
      <c r="H4" s="18" t="s">
        <v>14</v>
      </c>
      <c r="I4" s="19" t="s">
        <v>12</v>
      </c>
      <c r="J4" s="19" t="s">
        <v>13</v>
      </c>
      <c r="K4" s="19" t="s">
        <v>15</v>
      </c>
      <c r="L4" s="20" t="s">
        <v>12</v>
      </c>
      <c r="M4" s="20" t="s">
        <v>13</v>
      </c>
      <c r="N4" s="20" t="s">
        <v>16</v>
      </c>
      <c r="O4" s="21" t="s">
        <v>17</v>
      </c>
      <c r="P4" s="21" t="s">
        <v>18</v>
      </c>
      <c r="Q4" s="22" t="s">
        <v>19</v>
      </c>
      <c r="R4" s="23" t="s">
        <v>20</v>
      </c>
      <c r="S4" s="23" t="s">
        <v>21</v>
      </c>
      <c r="T4" s="23" t="s">
        <v>22</v>
      </c>
      <c r="U4" s="3"/>
      <c r="V4" s="3"/>
      <c r="W4" s="3"/>
      <c r="X4" s="3"/>
      <c r="Y4" s="3"/>
      <c r="Z4" s="3"/>
      <c r="AA4" s="3"/>
      <c r="AB4" s="6"/>
    </row>
    <row r="5" ht="30.0" customHeight="1">
      <c r="A5" s="1">
        <v>1.0</v>
      </c>
      <c r="B5" s="24" t="s">
        <v>620</v>
      </c>
      <c r="C5" s="25" t="s">
        <v>621</v>
      </c>
      <c r="D5" s="26">
        <v>0.0</v>
      </c>
      <c r="E5" s="26">
        <v>0.0520296096801757</v>
      </c>
      <c r="F5" s="27"/>
      <c r="G5" s="28"/>
      <c r="H5" s="28"/>
      <c r="I5" s="29"/>
      <c r="J5" s="28"/>
      <c r="K5" s="28"/>
      <c r="L5" s="29" t="s">
        <v>622</v>
      </c>
      <c r="M5" s="28">
        <v>0.0</v>
      </c>
      <c r="N5" s="28">
        <v>0.0498285293579101</v>
      </c>
      <c r="O5" s="30"/>
      <c r="P5" s="31"/>
      <c r="Q5" s="31"/>
      <c r="R5" s="29" t="s">
        <v>623</v>
      </c>
      <c r="S5" s="28">
        <v>0.0</v>
      </c>
      <c r="T5" s="28">
        <v>0.022923469543457</v>
      </c>
      <c r="U5" s="3">
        <f t="shared" ref="U5:U53" si="1">E5/T5</f>
        <v>2.269709198</v>
      </c>
      <c r="V5" s="3"/>
      <c r="W5" s="3"/>
      <c r="X5" s="3"/>
      <c r="Y5" s="3"/>
      <c r="Z5" s="3"/>
      <c r="AA5" s="3"/>
      <c r="AB5" s="6"/>
    </row>
    <row r="6" ht="30.0" customHeight="1">
      <c r="A6" s="1">
        <v>2.0</v>
      </c>
      <c r="B6" s="24" t="s">
        <v>624</v>
      </c>
      <c r="C6" s="25" t="s">
        <v>625</v>
      </c>
      <c r="D6" s="26">
        <v>0.0</v>
      </c>
      <c r="E6" s="26">
        <v>0.0</v>
      </c>
      <c r="F6" s="27"/>
      <c r="G6" s="28"/>
      <c r="H6" s="28"/>
      <c r="I6" s="29"/>
      <c r="J6" s="28"/>
      <c r="K6" s="28"/>
      <c r="L6" s="29" t="s">
        <v>626</v>
      </c>
      <c r="M6" s="28">
        <v>0.0</v>
      </c>
      <c r="N6" s="28">
        <v>0.0400161743164062</v>
      </c>
      <c r="O6" s="32"/>
      <c r="P6" s="31"/>
      <c r="Q6" s="31"/>
      <c r="R6" s="29" t="s">
        <v>627</v>
      </c>
      <c r="S6" s="28">
        <v>0.0</v>
      </c>
      <c r="T6" s="28">
        <v>0.0129697322845458</v>
      </c>
      <c r="U6" s="3">
        <f t="shared" si="1"/>
        <v>0</v>
      </c>
      <c r="V6" s="3"/>
      <c r="W6" s="3"/>
      <c r="X6" s="3"/>
      <c r="Y6" s="3"/>
      <c r="Z6" s="3"/>
      <c r="AA6" s="3"/>
      <c r="AB6" s="6"/>
    </row>
    <row r="7" ht="30.0" customHeight="1">
      <c r="A7" s="1">
        <v>3.0</v>
      </c>
      <c r="B7" s="24" t="s">
        <v>628</v>
      </c>
      <c r="C7" s="25" t="s">
        <v>629</v>
      </c>
      <c r="D7" s="26">
        <v>0.0</v>
      </c>
      <c r="E7" s="26">
        <v>0.0222699642181396</v>
      </c>
      <c r="F7" s="27"/>
      <c r="G7" s="28"/>
      <c r="H7" s="28"/>
      <c r="I7" s="29"/>
      <c r="J7" s="28"/>
      <c r="K7" s="28"/>
      <c r="L7" s="29" t="s">
        <v>630</v>
      </c>
      <c r="M7" s="28">
        <v>0.0</v>
      </c>
      <c r="N7" s="28">
        <v>0.0385890007019043</v>
      </c>
      <c r="O7" s="32"/>
      <c r="P7" s="31"/>
      <c r="Q7" s="31"/>
      <c r="R7" s="29" t="s">
        <v>631</v>
      </c>
      <c r="S7" s="28">
        <v>0.0</v>
      </c>
      <c r="T7" s="28">
        <v>0.0139529705047607</v>
      </c>
      <c r="U7" s="3">
        <f t="shared" si="1"/>
        <v>1.596073339</v>
      </c>
      <c r="V7" s="3"/>
      <c r="W7" s="3"/>
      <c r="X7" s="3"/>
      <c r="Y7" s="3"/>
      <c r="Z7" s="3"/>
      <c r="AA7" s="3"/>
      <c r="AB7" s="6"/>
    </row>
    <row r="8" ht="30.0" customHeight="1">
      <c r="A8" s="1">
        <v>4.0</v>
      </c>
      <c r="B8" s="24" t="s">
        <v>632</v>
      </c>
      <c r="C8" s="25" t="s">
        <v>633</v>
      </c>
      <c r="D8" s="26">
        <v>0.0</v>
      </c>
      <c r="E8" s="26">
        <v>0.0</v>
      </c>
      <c r="F8" s="27"/>
      <c r="G8" s="28"/>
      <c r="H8" s="28"/>
      <c r="I8" s="29"/>
      <c r="J8" s="28"/>
      <c r="K8" s="28"/>
      <c r="L8" s="29" t="s">
        <v>634</v>
      </c>
      <c r="M8" s="28">
        <v>0.0</v>
      </c>
      <c r="N8" s="28">
        <v>0.034745454788208</v>
      </c>
      <c r="O8" s="32"/>
      <c r="P8" s="31"/>
      <c r="Q8" s="31"/>
      <c r="R8" s="29" t="s">
        <v>635</v>
      </c>
      <c r="S8" s="28">
        <v>0.0</v>
      </c>
      <c r="T8" s="28">
        <v>0.0099802017211914</v>
      </c>
      <c r="U8" s="3">
        <f t="shared" si="1"/>
        <v>0</v>
      </c>
      <c r="V8" s="3"/>
      <c r="W8" s="3"/>
      <c r="X8" s="3"/>
      <c r="Y8" s="3"/>
      <c r="Z8" s="3"/>
      <c r="AA8" s="3"/>
      <c r="AB8" s="6"/>
    </row>
    <row r="9" ht="30.0" customHeight="1">
      <c r="A9" s="1">
        <v>5.0</v>
      </c>
      <c r="B9" s="24" t="s">
        <v>636</v>
      </c>
      <c r="C9" s="25" t="s">
        <v>637</v>
      </c>
      <c r="D9" s="26">
        <v>0.0</v>
      </c>
      <c r="E9" s="26">
        <v>0.00206232070922851</v>
      </c>
      <c r="F9" s="27"/>
      <c r="G9" s="28"/>
      <c r="H9" s="28"/>
      <c r="I9" s="29"/>
      <c r="J9" s="28"/>
      <c r="K9" s="28"/>
      <c r="L9" s="29" t="s">
        <v>638</v>
      </c>
      <c r="M9" s="28">
        <v>0.0</v>
      </c>
      <c r="N9" s="28">
        <v>0.0272138118743896</v>
      </c>
      <c r="O9" s="33"/>
      <c r="P9" s="26"/>
      <c r="Q9" s="26"/>
      <c r="R9" s="29" t="s">
        <v>639</v>
      </c>
      <c r="S9" s="28">
        <v>0.0</v>
      </c>
      <c r="T9" s="28">
        <v>0.0149314403533935</v>
      </c>
      <c r="U9" s="3">
        <f t="shared" si="1"/>
        <v>0.1381193415</v>
      </c>
      <c r="V9" s="3"/>
      <c r="W9" s="3"/>
      <c r="X9" s="3"/>
      <c r="Y9" s="3"/>
      <c r="Z9" s="3"/>
      <c r="AA9" s="3"/>
      <c r="AB9" s="6"/>
    </row>
    <row r="10" ht="30.0" customHeight="1">
      <c r="A10" s="1">
        <v>6.0</v>
      </c>
      <c r="B10" s="24" t="s">
        <v>640</v>
      </c>
      <c r="C10" s="25" t="s">
        <v>641</v>
      </c>
      <c r="D10" s="26">
        <v>0.0</v>
      </c>
      <c r="E10" s="26">
        <v>0.0</v>
      </c>
      <c r="F10" s="27"/>
      <c r="G10" s="28"/>
      <c r="H10" s="28"/>
      <c r="I10" s="29"/>
      <c r="J10" s="28"/>
      <c r="K10" s="28"/>
      <c r="L10" s="29" t="s">
        <v>642</v>
      </c>
      <c r="M10" s="28">
        <v>0.0</v>
      </c>
      <c r="N10" s="28">
        <v>0.0200233459472656</v>
      </c>
      <c r="O10" s="32"/>
      <c r="P10" s="31"/>
      <c r="Q10" s="31"/>
      <c r="R10" s="29" t="s">
        <v>643</v>
      </c>
      <c r="S10" s="28">
        <v>0.0</v>
      </c>
      <c r="T10" s="28">
        <v>0.0079803466796875</v>
      </c>
      <c r="U10" s="3">
        <f t="shared" si="1"/>
        <v>0</v>
      </c>
      <c r="V10" s="3"/>
      <c r="W10" s="3"/>
      <c r="X10" s="3"/>
      <c r="Y10" s="3"/>
      <c r="Z10" s="3"/>
      <c r="AA10" s="3"/>
      <c r="AB10" s="6"/>
    </row>
    <row r="11" ht="30.0" customHeight="1">
      <c r="A11" s="1">
        <v>7.0</v>
      </c>
      <c r="B11" s="24" t="s">
        <v>644</v>
      </c>
      <c r="C11" s="25" t="s">
        <v>645</v>
      </c>
      <c r="D11" s="26">
        <v>0.0</v>
      </c>
      <c r="E11" s="26">
        <v>0.0132734775543212</v>
      </c>
      <c r="F11" s="27"/>
      <c r="G11" s="28"/>
      <c r="H11" s="28"/>
      <c r="I11" s="29"/>
      <c r="J11" s="28"/>
      <c r="K11" s="28"/>
      <c r="L11" s="29" t="s">
        <v>646</v>
      </c>
      <c r="M11" s="28">
        <v>0.0</v>
      </c>
      <c r="N11" s="28">
        <v>0.0317592620849609</v>
      </c>
      <c r="O11" s="32"/>
      <c r="P11" s="31"/>
      <c r="Q11" s="31"/>
      <c r="R11" s="29" t="s">
        <v>647</v>
      </c>
      <c r="S11" s="28">
        <v>0.0</v>
      </c>
      <c r="T11" s="28">
        <v>0.0119836330413818</v>
      </c>
      <c r="U11" s="3">
        <f t="shared" si="1"/>
        <v>1.107633846</v>
      </c>
      <c r="V11" s="3"/>
      <c r="W11" s="3"/>
      <c r="X11" s="3"/>
      <c r="Y11" s="3"/>
      <c r="Z11" s="3"/>
      <c r="AA11" s="3"/>
      <c r="AB11" s="6"/>
    </row>
    <row r="12" ht="30.0" customHeight="1">
      <c r="A12" s="1">
        <v>8.0</v>
      </c>
      <c r="B12" s="24" t="s">
        <v>648</v>
      </c>
      <c r="C12" s="25" t="s">
        <v>649</v>
      </c>
      <c r="D12" s="26">
        <v>0.0</v>
      </c>
      <c r="E12" s="26">
        <v>0.0202586650848388</v>
      </c>
      <c r="F12" s="27"/>
      <c r="G12" s="28"/>
      <c r="H12" s="28"/>
      <c r="I12" s="29"/>
      <c r="J12" s="28"/>
      <c r="K12" s="28"/>
      <c r="L12" s="29" t="s">
        <v>650</v>
      </c>
      <c r="M12" s="28">
        <v>0.0</v>
      </c>
      <c r="N12" s="28">
        <v>0.0418565273284912</v>
      </c>
      <c r="O12" s="32"/>
      <c r="P12" s="31"/>
      <c r="Q12" s="31"/>
      <c r="R12" s="29" t="s">
        <v>651</v>
      </c>
      <c r="S12" s="28">
        <v>0.0</v>
      </c>
      <c r="T12" s="28">
        <v>0.0269157886505126</v>
      </c>
      <c r="U12" s="3">
        <f t="shared" si="1"/>
        <v>0.752668456</v>
      </c>
      <c r="V12" s="3"/>
      <c r="W12" s="3"/>
      <c r="X12" s="3"/>
      <c r="Y12" s="3"/>
      <c r="Z12" s="3"/>
      <c r="AA12" s="3"/>
      <c r="AB12" s="6"/>
    </row>
    <row r="13" ht="30.0" customHeight="1">
      <c r="A13" s="1">
        <v>9.0</v>
      </c>
      <c r="B13" s="24" t="s">
        <v>652</v>
      </c>
      <c r="C13" s="25" t="s">
        <v>653</v>
      </c>
      <c r="D13" s="26">
        <v>0.0</v>
      </c>
      <c r="E13" s="26">
        <v>0.0102503299713134</v>
      </c>
      <c r="F13" s="27"/>
      <c r="G13" s="28"/>
      <c r="H13" s="28"/>
      <c r="I13" s="29"/>
      <c r="J13" s="28"/>
      <c r="K13" s="28"/>
      <c r="L13" s="29" t="s">
        <v>654</v>
      </c>
      <c r="M13" s="28">
        <v>0.0</v>
      </c>
      <c r="N13" s="28">
        <v>0.028949499130249</v>
      </c>
      <c r="O13" s="32"/>
      <c r="P13" s="31"/>
      <c r="Q13" s="31"/>
      <c r="R13" s="29" t="s">
        <v>655</v>
      </c>
      <c r="S13" s="28">
        <v>0.0</v>
      </c>
      <c r="T13" s="28">
        <v>0.0268921852111816</v>
      </c>
      <c r="U13" s="3">
        <f t="shared" si="1"/>
        <v>0.3811638917</v>
      </c>
      <c r="V13" s="3"/>
      <c r="W13" s="3"/>
      <c r="X13" s="3"/>
      <c r="Y13" s="3"/>
      <c r="Z13" s="3"/>
      <c r="AA13" s="3"/>
      <c r="AB13" s="6"/>
    </row>
    <row r="14" ht="30.0" customHeight="1">
      <c r="A14" s="1">
        <v>10.0</v>
      </c>
      <c r="B14" s="24" t="s">
        <v>656</v>
      </c>
      <c r="C14" s="25" t="s">
        <v>657</v>
      </c>
      <c r="D14" s="26">
        <v>0.0</v>
      </c>
      <c r="E14" s="26">
        <v>0.031130313873291</v>
      </c>
      <c r="F14" s="27"/>
      <c r="G14" s="28"/>
      <c r="H14" s="28"/>
      <c r="I14" s="29"/>
      <c r="J14" s="28"/>
      <c r="K14" s="28"/>
      <c r="L14" s="29" t="s">
        <v>658</v>
      </c>
      <c r="M14" s="28">
        <v>0.0</v>
      </c>
      <c r="N14" s="28">
        <v>0.0342862606048584</v>
      </c>
      <c r="O14" s="32"/>
      <c r="P14" s="31"/>
      <c r="Q14" s="31"/>
      <c r="R14" s="29" t="s">
        <v>659</v>
      </c>
      <c r="S14" s="28">
        <v>0.0</v>
      </c>
      <c r="T14" s="28">
        <v>0.0119674205780029</v>
      </c>
      <c r="U14" s="3">
        <f t="shared" si="1"/>
        <v>2.601255105</v>
      </c>
      <c r="V14" s="3"/>
      <c r="W14" s="3"/>
      <c r="X14" s="3"/>
      <c r="Y14" s="3"/>
      <c r="Z14" s="3"/>
      <c r="AA14" s="3"/>
      <c r="AB14" s="6"/>
    </row>
    <row r="15" ht="30.0" customHeight="1">
      <c r="A15" s="1">
        <v>11.0</v>
      </c>
      <c r="B15" s="24" t="s">
        <v>660</v>
      </c>
      <c r="C15" s="25" t="s">
        <v>661</v>
      </c>
      <c r="D15" s="26">
        <v>0.0</v>
      </c>
      <c r="E15" s="26">
        <v>0.0097055435180664</v>
      </c>
      <c r="F15" s="27"/>
      <c r="G15" s="28"/>
      <c r="H15" s="28"/>
      <c r="I15" s="29"/>
      <c r="J15" s="28"/>
      <c r="K15" s="28"/>
      <c r="L15" s="29" t="s">
        <v>662</v>
      </c>
      <c r="M15" s="28">
        <v>0.0</v>
      </c>
      <c r="N15" s="28">
        <v>0.0266647338867187</v>
      </c>
      <c r="O15" s="32"/>
      <c r="P15" s="31"/>
      <c r="Q15" s="31"/>
      <c r="R15" s="29" t="s">
        <v>663</v>
      </c>
      <c r="S15" s="28">
        <v>0.0</v>
      </c>
      <c r="T15" s="28">
        <v>0.0119578838348388</v>
      </c>
      <c r="U15" s="3">
        <f t="shared" si="1"/>
        <v>0.8116439039</v>
      </c>
      <c r="V15" s="3"/>
      <c r="W15" s="3"/>
      <c r="X15" s="3"/>
      <c r="Y15" s="3"/>
      <c r="Z15" s="3"/>
      <c r="AA15" s="3"/>
      <c r="AB15" s="6"/>
    </row>
    <row r="16" ht="30.0" customHeight="1">
      <c r="A16" s="1">
        <v>12.0</v>
      </c>
      <c r="B16" s="24" t="s">
        <v>664</v>
      </c>
      <c r="C16" s="25" t="s">
        <v>665</v>
      </c>
      <c r="D16" s="26">
        <v>0.0</v>
      </c>
      <c r="E16" s="26">
        <v>0.004868745803833</v>
      </c>
      <c r="F16" s="27"/>
      <c r="G16" s="28"/>
      <c r="H16" s="28"/>
      <c r="I16" s="29"/>
      <c r="J16" s="28"/>
      <c r="K16" s="28"/>
      <c r="L16" s="29" t="s">
        <v>666</v>
      </c>
      <c r="M16" s="28">
        <v>0.0</v>
      </c>
      <c r="N16" s="28">
        <v>0.0225193500518798</v>
      </c>
      <c r="O16" s="32"/>
      <c r="P16" s="31"/>
      <c r="Q16" s="31"/>
      <c r="R16" s="29" t="s">
        <v>667</v>
      </c>
      <c r="S16" s="28">
        <v>0.0</v>
      </c>
      <c r="T16" s="28">
        <v>0.0069737434387207</v>
      </c>
      <c r="U16" s="3">
        <f t="shared" si="1"/>
        <v>0.6981538462</v>
      </c>
      <c r="V16" s="3"/>
      <c r="W16" s="3"/>
      <c r="X16" s="3"/>
      <c r="Y16" s="3"/>
      <c r="Z16" s="3"/>
      <c r="AA16" s="3"/>
      <c r="AB16" s="6"/>
    </row>
    <row r="17" ht="30.0" customHeight="1">
      <c r="A17" s="1">
        <v>13.0</v>
      </c>
      <c r="B17" s="24" t="s">
        <v>668</v>
      </c>
      <c r="C17" s="25" t="s">
        <v>669</v>
      </c>
      <c r="D17" s="26">
        <v>0.0</v>
      </c>
      <c r="E17" s="26">
        <v>0.00649952888488769</v>
      </c>
      <c r="F17" s="27"/>
      <c r="G17" s="28"/>
      <c r="H17" s="28"/>
      <c r="I17" s="29"/>
      <c r="J17" s="28"/>
      <c r="K17" s="28"/>
      <c r="L17" s="29" t="s">
        <v>670</v>
      </c>
      <c r="M17" s="28">
        <v>0.0</v>
      </c>
      <c r="N17" s="28">
        <v>0.0174448490142822</v>
      </c>
      <c r="O17" s="32"/>
      <c r="P17" s="31"/>
      <c r="Q17" s="31"/>
      <c r="R17" s="29" t="s">
        <v>671</v>
      </c>
      <c r="S17" s="28">
        <v>0.0</v>
      </c>
      <c r="T17" s="28">
        <v>0.00896835327148437</v>
      </c>
      <c r="U17" s="3">
        <f t="shared" si="1"/>
        <v>0.724718205</v>
      </c>
      <c r="V17" s="3"/>
      <c r="W17" s="3"/>
      <c r="X17" s="3"/>
      <c r="Y17" s="3"/>
      <c r="Z17" s="3"/>
      <c r="AA17" s="3"/>
      <c r="AB17" s="6"/>
    </row>
    <row r="18" ht="30.0" customHeight="1">
      <c r="A18" s="1">
        <v>14.0</v>
      </c>
      <c r="B18" s="24" t="s">
        <v>672</v>
      </c>
      <c r="C18" s="25" t="s">
        <v>673</v>
      </c>
      <c r="D18" s="26">
        <v>0.0</v>
      </c>
      <c r="E18" s="26">
        <v>0.0</v>
      </c>
      <c r="F18" s="27"/>
      <c r="G18" s="28"/>
      <c r="H18" s="28"/>
      <c r="I18" s="29"/>
      <c r="J18" s="28"/>
      <c r="K18" s="28"/>
      <c r="L18" s="29" t="s">
        <v>674</v>
      </c>
      <c r="M18" s="28">
        <v>0.0</v>
      </c>
      <c r="N18" s="28">
        <v>0.0331659317016601</v>
      </c>
      <c r="O18" s="32"/>
      <c r="P18" s="31"/>
      <c r="Q18" s="31"/>
      <c r="R18" s="29" t="s">
        <v>675</v>
      </c>
      <c r="S18" s="28">
        <v>0.0</v>
      </c>
      <c r="T18" s="28">
        <v>0.00997376441955566</v>
      </c>
      <c r="U18" s="3">
        <f t="shared" si="1"/>
        <v>0</v>
      </c>
      <c r="V18" s="3"/>
      <c r="W18" s="3"/>
      <c r="X18" s="3"/>
      <c r="Y18" s="3"/>
      <c r="Z18" s="3"/>
      <c r="AA18" s="3"/>
      <c r="AB18" s="6"/>
    </row>
    <row r="19" ht="30.0" customHeight="1">
      <c r="A19" s="1">
        <v>15.0</v>
      </c>
      <c r="B19" s="24" t="s">
        <v>676</v>
      </c>
      <c r="C19" s="25" t="s">
        <v>677</v>
      </c>
      <c r="D19" s="26">
        <v>0.0</v>
      </c>
      <c r="E19" s="26">
        <v>0.0339269638061523</v>
      </c>
      <c r="F19" s="27"/>
      <c r="G19" s="28"/>
      <c r="H19" s="28"/>
      <c r="I19" s="29"/>
      <c r="J19" s="28"/>
      <c r="K19" s="28"/>
      <c r="L19" s="29" t="s">
        <v>678</v>
      </c>
      <c r="M19" s="28">
        <v>0.0</v>
      </c>
      <c r="N19" s="28">
        <v>0.0449810028076171</v>
      </c>
      <c r="O19" s="32"/>
      <c r="P19" s="31"/>
      <c r="Q19" s="31"/>
      <c r="R19" s="29" t="s">
        <v>679</v>
      </c>
      <c r="S19" s="28">
        <v>0.0</v>
      </c>
      <c r="T19" s="28">
        <v>0.020920991897583</v>
      </c>
      <c r="U19" s="3">
        <f t="shared" si="1"/>
        <v>1.621670902</v>
      </c>
      <c r="V19" s="3"/>
      <c r="W19" s="3"/>
      <c r="X19" s="3"/>
      <c r="Y19" s="3"/>
      <c r="Z19" s="3"/>
      <c r="AA19" s="3"/>
      <c r="AB19" s="6"/>
    </row>
    <row r="20" ht="30.0" customHeight="1">
      <c r="A20" s="1">
        <v>16.0</v>
      </c>
      <c r="B20" s="24" t="s">
        <v>680</v>
      </c>
      <c r="C20" s="25" t="s">
        <v>681</v>
      </c>
      <c r="D20" s="26">
        <v>0.0</v>
      </c>
      <c r="E20" s="26">
        <v>0.0303189754486084</v>
      </c>
      <c r="F20" s="27"/>
      <c r="G20" s="28"/>
      <c r="H20" s="28"/>
      <c r="I20" s="29"/>
      <c r="J20" s="28"/>
      <c r="K20" s="28"/>
      <c r="L20" s="29" t="s">
        <v>682</v>
      </c>
      <c r="M20" s="28">
        <v>0.0</v>
      </c>
      <c r="N20" s="28">
        <v>0.0388722419738769</v>
      </c>
      <c r="O20" s="32"/>
      <c r="P20" s="31"/>
      <c r="Q20" s="31"/>
      <c r="R20" s="29" t="s">
        <v>683</v>
      </c>
      <c r="S20" s="28">
        <v>0.0</v>
      </c>
      <c r="T20" s="28">
        <v>0.0159380435943603</v>
      </c>
      <c r="U20" s="3">
        <f t="shared" si="1"/>
        <v>1.902302203</v>
      </c>
      <c r="V20" s="3"/>
      <c r="W20" s="3"/>
      <c r="X20" s="3"/>
      <c r="Y20" s="3"/>
      <c r="Z20" s="3"/>
      <c r="AA20" s="3"/>
      <c r="AB20" s="6"/>
    </row>
    <row r="21" ht="30.0" customHeight="1">
      <c r="A21" s="1">
        <v>17.0</v>
      </c>
      <c r="B21" s="24" t="s">
        <v>684</v>
      </c>
      <c r="C21" s="25" t="s">
        <v>685</v>
      </c>
      <c r="D21" s="26">
        <v>0.0</v>
      </c>
      <c r="E21" s="26">
        <v>0.0149903297424316</v>
      </c>
      <c r="F21" s="27"/>
      <c r="G21" s="28"/>
      <c r="H21" s="28"/>
      <c r="I21" s="29"/>
      <c r="J21" s="28"/>
      <c r="K21" s="28"/>
      <c r="L21" s="29" t="s">
        <v>686</v>
      </c>
      <c r="M21" s="28">
        <v>0.0</v>
      </c>
      <c r="N21" s="28">
        <v>0.0353648662567138</v>
      </c>
      <c r="O21" s="32"/>
      <c r="P21" s="31"/>
      <c r="Q21" s="31"/>
      <c r="R21" s="29" t="s">
        <v>687</v>
      </c>
      <c r="S21" s="28">
        <v>0.0</v>
      </c>
      <c r="T21" s="28">
        <v>0.0119593143463134</v>
      </c>
      <c r="U21" s="3">
        <f t="shared" si="1"/>
        <v>1.253443911</v>
      </c>
      <c r="V21" s="3"/>
      <c r="W21" s="3"/>
      <c r="X21" s="3"/>
      <c r="Y21" s="3"/>
      <c r="Z21" s="3"/>
      <c r="AA21" s="3"/>
      <c r="AB21" s="6"/>
    </row>
    <row r="22" ht="30.0" customHeight="1">
      <c r="A22" s="1">
        <v>18.0</v>
      </c>
      <c r="B22" s="24" t="s">
        <v>688</v>
      </c>
      <c r="C22" s="25" t="s">
        <v>689</v>
      </c>
      <c r="D22" s="26">
        <v>0.0</v>
      </c>
      <c r="E22" s="26">
        <v>0.0151824951171875</v>
      </c>
      <c r="F22" s="27"/>
      <c r="G22" s="28"/>
      <c r="H22" s="28"/>
      <c r="I22" s="29"/>
      <c r="J22" s="28"/>
      <c r="K22" s="28"/>
      <c r="L22" s="29" t="s">
        <v>690</v>
      </c>
      <c r="M22" s="28">
        <v>0.0</v>
      </c>
      <c r="N22" s="28">
        <v>0.0301399230957031</v>
      </c>
      <c r="O22" s="32"/>
      <c r="P22" s="31"/>
      <c r="Q22" s="31"/>
      <c r="R22" s="29" t="s">
        <v>691</v>
      </c>
      <c r="S22" s="28">
        <v>0.0</v>
      </c>
      <c r="T22" s="28">
        <v>0.00996685028076171</v>
      </c>
      <c r="U22" s="3">
        <f t="shared" si="1"/>
        <v>1.523299206</v>
      </c>
      <c r="V22" s="3"/>
      <c r="W22" s="3"/>
      <c r="X22" s="3"/>
      <c r="Y22" s="3"/>
      <c r="Z22" s="3"/>
      <c r="AA22" s="3"/>
      <c r="AB22" s="6"/>
    </row>
    <row r="23" ht="30.0" customHeight="1">
      <c r="A23" s="1">
        <v>19.0</v>
      </c>
      <c r="B23" s="24" t="s">
        <v>692</v>
      </c>
      <c r="C23" s="25" t="s">
        <v>693</v>
      </c>
      <c r="D23" s="26">
        <v>0.0</v>
      </c>
      <c r="E23" s="26">
        <v>0.00745606422424316</v>
      </c>
      <c r="F23" s="27"/>
      <c r="G23" s="28"/>
      <c r="H23" s="28"/>
      <c r="I23" s="29"/>
      <c r="J23" s="28"/>
      <c r="K23" s="28"/>
      <c r="L23" s="29" t="s">
        <v>694</v>
      </c>
      <c r="M23" s="28">
        <v>0.0</v>
      </c>
      <c r="N23" s="28">
        <v>0.0161375999450683</v>
      </c>
      <c r="O23" s="32"/>
      <c r="P23" s="31"/>
      <c r="Q23" s="31"/>
      <c r="R23" s="29" t="s">
        <v>695</v>
      </c>
      <c r="S23" s="28">
        <v>0.0</v>
      </c>
      <c r="T23" s="28">
        <v>0.0129570960998535</v>
      </c>
      <c r="U23" s="3">
        <f t="shared" si="1"/>
        <v>0.5754425349</v>
      </c>
      <c r="V23" s="3"/>
      <c r="W23" s="3"/>
      <c r="X23" s="3"/>
      <c r="Y23" s="3"/>
      <c r="Z23" s="3"/>
      <c r="AA23" s="3"/>
      <c r="AB23" s="6"/>
    </row>
    <row r="24" ht="30.0" customHeight="1">
      <c r="A24" s="1">
        <v>20.0</v>
      </c>
      <c r="B24" s="24" t="s">
        <v>696</v>
      </c>
      <c r="C24" s="25" t="s">
        <v>697</v>
      </c>
      <c r="D24" s="26">
        <v>0.0</v>
      </c>
      <c r="E24" s="26">
        <v>0.0</v>
      </c>
      <c r="F24" s="27"/>
      <c r="G24" s="28"/>
      <c r="H24" s="28"/>
      <c r="I24" s="29"/>
      <c r="J24" s="28"/>
      <c r="K24" s="28"/>
      <c r="L24" s="29" t="s">
        <v>698</v>
      </c>
      <c r="M24" s="28">
        <v>0.0</v>
      </c>
      <c r="N24" s="28">
        <v>0.0162231922149658</v>
      </c>
      <c r="O24" s="32"/>
      <c r="P24" s="31"/>
      <c r="Q24" s="31"/>
      <c r="R24" s="29" t="s">
        <v>699</v>
      </c>
      <c r="S24" s="28">
        <v>0.0</v>
      </c>
      <c r="T24" s="28">
        <v>0.0139539241790771</v>
      </c>
      <c r="U24" s="3">
        <f t="shared" si="1"/>
        <v>0</v>
      </c>
      <c r="V24" s="3"/>
      <c r="W24" s="3"/>
      <c r="X24" s="3"/>
      <c r="Y24" s="3"/>
      <c r="Z24" s="3"/>
      <c r="AA24" s="3"/>
      <c r="AB24" s="6"/>
    </row>
    <row r="25" ht="30.0" customHeight="1">
      <c r="A25" s="1">
        <v>21.0</v>
      </c>
      <c r="B25" s="24" t="s">
        <v>700</v>
      </c>
      <c r="C25" s="25" t="s">
        <v>701</v>
      </c>
      <c r="D25" s="26">
        <v>0.0</v>
      </c>
      <c r="E25" s="26">
        <v>0.00943899154663086</v>
      </c>
      <c r="F25" s="27"/>
      <c r="G25" s="28"/>
      <c r="H25" s="28"/>
      <c r="I25" s="29"/>
      <c r="J25" s="28"/>
      <c r="K25" s="28"/>
      <c r="L25" s="29" t="s">
        <v>702</v>
      </c>
      <c r="M25" s="28">
        <v>0.0</v>
      </c>
      <c r="N25" s="28">
        <v>0.0242650508880615</v>
      </c>
      <c r="O25" s="32"/>
      <c r="P25" s="31"/>
      <c r="Q25" s="31"/>
      <c r="R25" s="29" t="s">
        <v>703</v>
      </c>
      <c r="S25" s="28">
        <v>0.0</v>
      </c>
      <c r="T25" s="28">
        <v>0.0129563808441162</v>
      </c>
      <c r="U25" s="3">
        <f t="shared" si="1"/>
        <v>0.7285206926</v>
      </c>
      <c r="V25" s="3"/>
      <c r="W25" s="3"/>
      <c r="X25" s="3"/>
      <c r="Y25" s="3"/>
      <c r="Z25" s="3"/>
      <c r="AA25" s="3"/>
      <c r="AB25" s="6"/>
    </row>
    <row r="26" ht="30.0" customHeight="1">
      <c r="A26" s="1">
        <v>22.0</v>
      </c>
      <c r="B26" s="24" t="s">
        <v>704</v>
      </c>
      <c r="C26" s="25" t="s">
        <v>705</v>
      </c>
      <c r="D26" s="26">
        <v>0.0</v>
      </c>
      <c r="E26" s="26">
        <v>0.0161335468292236</v>
      </c>
      <c r="F26" s="27"/>
      <c r="G26" s="28"/>
      <c r="H26" s="28"/>
      <c r="I26" s="29"/>
      <c r="J26" s="28"/>
      <c r="K26" s="28"/>
      <c r="L26" s="29" t="s">
        <v>706</v>
      </c>
      <c r="M26" s="28">
        <v>0.0</v>
      </c>
      <c r="N26" s="28">
        <v>0.0299341678619384</v>
      </c>
      <c r="O26" s="32"/>
      <c r="P26" s="31"/>
      <c r="Q26" s="31"/>
      <c r="R26" s="29" t="s">
        <v>707</v>
      </c>
      <c r="S26" s="28">
        <v>0.0</v>
      </c>
      <c r="T26" s="28">
        <v>0.0169556140899658</v>
      </c>
      <c r="U26" s="3">
        <f t="shared" si="1"/>
        <v>0.951516515</v>
      </c>
      <c r="V26" s="3"/>
      <c r="W26" s="3"/>
      <c r="X26" s="3"/>
      <c r="Y26" s="3"/>
      <c r="Z26" s="3"/>
      <c r="AA26" s="3"/>
      <c r="AB26" s="6"/>
    </row>
    <row r="27" ht="30.0" customHeight="1">
      <c r="A27" s="1">
        <v>23.0</v>
      </c>
      <c r="B27" s="24" t="s">
        <v>708</v>
      </c>
      <c r="C27" s="25" t="s">
        <v>709</v>
      </c>
      <c r="D27" s="26">
        <v>0.0</v>
      </c>
      <c r="E27" s="26">
        <v>0.0168929100036621</v>
      </c>
      <c r="F27" s="27"/>
      <c r="G27" s="28"/>
      <c r="H27" s="28"/>
      <c r="I27" s="29"/>
      <c r="J27" s="28"/>
      <c r="K27" s="28"/>
      <c r="L27" s="29" t="s">
        <v>710</v>
      </c>
      <c r="M27" s="28">
        <v>0.0</v>
      </c>
      <c r="N27" s="28">
        <v>0.0282840728759765</v>
      </c>
      <c r="O27" s="32"/>
      <c r="P27" s="31"/>
      <c r="Q27" s="31"/>
      <c r="R27" s="29" t="s">
        <v>711</v>
      </c>
      <c r="S27" s="28">
        <v>0.0</v>
      </c>
      <c r="T27" s="28">
        <v>0.0119578838348388</v>
      </c>
      <c r="U27" s="3">
        <f t="shared" si="1"/>
        <v>1.412700628</v>
      </c>
      <c r="V27" s="3"/>
      <c r="W27" s="3"/>
      <c r="X27" s="3"/>
      <c r="Y27" s="3"/>
      <c r="Z27" s="3"/>
      <c r="AA27" s="3"/>
      <c r="AB27" s="6"/>
    </row>
    <row r="28" ht="30.0" customHeight="1">
      <c r="A28" s="1">
        <v>24.0</v>
      </c>
      <c r="B28" s="24" t="s">
        <v>712</v>
      </c>
      <c r="C28" s="25" t="s">
        <v>713</v>
      </c>
      <c r="D28" s="26">
        <v>0.0</v>
      </c>
      <c r="E28" s="26">
        <v>0.0504465103149414</v>
      </c>
      <c r="F28" s="27"/>
      <c r="G28" s="28"/>
      <c r="H28" s="28"/>
      <c r="I28" s="29"/>
      <c r="J28" s="28"/>
      <c r="K28" s="28"/>
      <c r="L28" s="29" t="s">
        <v>714</v>
      </c>
      <c r="M28" s="28">
        <v>0.0</v>
      </c>
      <c r="N28" s="28">
        <v>0.0318617820739746</v>
      </c>
      <c r="O28" s="32"/>
      <c r="P28" s="31"/>
      <c r="Q28" s="31"/>
      <c r="R28" s="29" t="s">
        <v>715</v>
      </c>
      <c r="S28" s="28">
        <v>0.0</v>
      </c>
      <c r="T28" s="28">
        <v>0.0169463157653808</v>
      </c>
      <c r="U28" s="3">
        <f t="shared" si="1"/>
        <v>2.976842342</v>
      </c>
      <c r="V28" s="3"/>
      <c r="W28" s="3"/>
      <c r="X28" s="3"/>
      <c r="Y28" s="3"/>
      <c r="Z28" s="3"/>
      <c r="AA28" s="3"/>
      <c r="AB28" s="6"/>
    </row>
    <row r="29" ht="30.0" customHeight="1">
      <c r="A29" s="1">
        <v>25.0</v>
      </c>
      <c r="B29" s="24" t="s">
        <v>716</v>
      </c>
      <c r="C29" s="25" t="s">
        <v>717</v>
      </c>
      <c r="D29" s="26">
        <v>0.0</v>
      </c>
      <c r="E29" s="26">
        <v>0.0164380073547363</v>
      </c>
      <c r="F29" s="27"/>
      <c r="G29" s="28"/>
      <c r="H29" s="28"/>
      <c r="I29" s="29"/>
      <c r="J29" s="28"/>
      <c r="K29" s="28"/>
      <c r="L29" s="29" t="s">
        <v>718</v>
      </c>
      <c r="M29" s="28">
        <v>0.0</v>
      </c>
      <c r="N29" s="28">
        <v>0.0290696620941162</v>
      </c>
      <c r="O29" s="32"/>
      <c r="P29" s="31"/>
      <c r="Q29" s="31"/>
      <c r="R29" s="29" t="s">
        <v>719</v>
      </c>
      <c r="S29" s="28">
        <v>0.0</v>
      </c>
      <c r="T29" s="28">
        <v>0.007981538772583</v>
      </c>
      <c r="U29" s="3">
        <f t="shared" si="1"/>
        <v>2.05950354</v>
      </c>
      <c r="V29" s="3"/>
      <c r="W29" s="3"/>
      <c r="X29" s="3"/>
      <c r="Y29" s="3"/>
      <c r="Z29" s="3"/>
      <c r="AA29" s="3"/>
      <c r="AB29" s="6"/>
    </row>
    <row r="30" ht="30.0" customHeight="1">
      <c r="A30" s="1">
        <v>26.0</v>
      </c>
      <c r="B30" s="35" t="s">
        <v>720</v>
      </c>
      <c r="C30" s="25" t="s">
        <v>721</v>
      </c>
      <c r="D30" s="26">
        <v>0.0</v>
      </c>
      <c r="E30" s="26">
        <v>0.0133547782897949</v>
      </c>
      <c r="F30" s="27"/>
      <c r="G30" s="28"/>
      <c r="H30" s="28"/>
      <c r="I30" s="29"/>
      <c r="J30" s="28"/>
      <c r="K30" s="28"/>
      <c r="L30" s="29" t="s">
        <v>722</v>
      </c>
      <c r="M30" s="28">
        <v>0.0</v>
      </c>
      <c r="N30" s="28">
        <v>0.0130550861358642</v>
      </c>
      <c r="O30" s="32"/>
      <c r="P30" s="31"/>
      <c r="Q30" s="31"/>
      <c r="R30" s="29" t="s">
        <v>723</v>
      </c>
      <c r="S30" s="28">
        <v>0.0</v>
      </c>
      <c r="T30" s="28">
        <v>0.00499248504638671</v>
      </c>
      <c r="U30" s="3">
        <f t="shared" si="1"/>
        <v>2.674976122</v>
      </c>
      <c r="V30" s="3"/>
      <c r="W30" s="3"/>
      <c r="X30" s="3"/>
      <c r="Y30" s="3"/>
      <c r="Z30" s="3"/>
      <c r="AA30" s="3"/>
      <c r="AB30" s="6"/>
    </row>
    <row r="31" ht="30.0" customHeight="1">
      <c r="A31" s="1">
        <v>27.0</v>
      </c>
      <c r="B31" s="35" t="s">
        <v>724</v>
      </c>
      <c r="C31" s="25" t="s">
        <v>725</v>
      </c>
      <c r="D31" s="26">
        <v>0.0</v>
      </c>
      <c r="E31" s="26">
        <v>0.010500431060791</v>
      </c>
      <c r="F31" s="27"/>
      <c r="G31" s="28"/>
      <c r="H31" s="28"/>
      <c r="I31" s="29"/>
      <c r="J31" s="28"/>
      <c r="K31" s="28"/>
      <c r="L31" s="29" t="s">
        <v>726</v>
      </c>
      <c r="M31" s="28">
        <v>0.0</v>
      </c>
      <c r="N31" s="28">
        <v>0.0124790668487548</v>
      </c>
      <c r="O31" s="32"/>
      <c r="P31" s="31"/>
      <c r="Q31" s="31"/>
      <c r="R31" s="29" t="s">
        <v>727</v>
      </c>
      <c r="S31" s="28">
        <v>0.0</v>
      </c>
      <c r="T31" s="28">
        <v>0.00598025321960449</v>
      </c>
      <c r="U31" s="3">
        <f t="shared" si="1"/>
        <v>1.755850576</v>
      </c>
      <c r="V31" s="3"/>
      <c r="W31" s="3"/>
      <c r="X31" s="3"/>
      <c r="Y31" s="3"/>
      <c r="Z31" s="3"/>
      <c r="AA31" s="3"/>
      <c r="AB31" s="6"/>
    </row>
    <row r="32" ht="30.0" customHeight="1">
      <c r="A32" s="1">
        <v>28.0</v>
      </c>
      <c r="B32" s="35" t="s">
        <v>728</v>
      </c>
      <c r="C32" s="25" t="s">
        <v>729</v>
      </c>
      <c r="D32" s="26">
        <v>0.0</v>
      </c>
      <c r="E32" s="26">
        <v>0.00690960884094238</v>
      </c>
      <c r="F32" s="27"/>
      <c r="G32" s="28"/>
      <c r="H32" s="28"/>
      <c r="I32" s="29"/>
      <c r="J32" s="28"/>
      <c r="K32" s="28"/>
      <c r="L32" s="29" t="s">
        <v>730</v>
      </c>
      <c r="M32" s="28">
        <v>0.0</v>
      </c>
      <c r="N32" s="28">
        <v>0.0210123062133789</v>
      </c>
      <c r="O32" s="32"/>
      <c r="P32" s="31"/>
      <c r="Q32" s="31"/>
      <c r="R32" s="29" t="s">
        <v>731</v>
      </c>
      <c r="S32" s="28">
        <v>0.0</v>
      </c>
      <c r="T32" s="28">
        <v>0.00797414779663086</v>
      </c>
      <c r="U32" s="3">
        <f t="shared" si="1"/>
        <v>0.8665012259</v>
      </c>
      <c r="V32" s="3"/>
      <c r="W32" s="3"/>
      <c r="X32" s="3"/>
      <c r="Y32" s="3"/>
      <c r="Z32" s="3"/>
      <c r="AA32" s="3"/>
      <c r="AB32" s="6"/>
    </row>
    <row r="33" ht="30.0" customHeight="1">
      <c r="A33" s="1">
        <v>29.0</v>
      </c>
      <c r="B33" s="35" t="s">
        <v>732</v>
      </c>
      <c r="C33" s="25" t="s">
        <v>733</v>
      </c>
      <c r="D33" s="26">
        <v>0.0</v>
      </c>
      <c r="E33" s="26">
        <v>0.00696516036987304</v>
      </c>
      <c r="F33" s="27"/>
      <c r="G33" s="28"/>
      <c r="H33" s="28"/>
      <c r="I33" s="29"/>
      <c r="J33" s="28"/>
      <c r="K33" s="28"/>
      <c r="L33" s="29" t="s">
        <v>734</v>
      </c>
      <c r="M33" s="28">
        <v>0.0</v>
      </c>
      <c r="N33" s="28">
        <v>0.0220422744750976</v>
      </c>
      <c r="O33" s="32"/>
      <c r="P33" s="31"/>
      <c r="Q33" s="31"/>
      <c r="R33" s="29" t="s">
        <v>735</v>
      </c>
      <c r="S33" s="28">
        <v>0.0</v>
      </c>
      <c r="T33" s="28">
        <v>0.0139520168304443</v>
      </c>
      <c r="U33" s="3">
        <f t="shared" si="1"/>
        <v>0.4992224748</v>
      </c>
      <c r="V33" s="3"/>
      <c r="W33" s="3"/>
      <c r="X33" s="3"/>
      <c r="Y33" s="3"/>
      <c r="Z33" s="3"/>
      <c r="AA33" s="3"/>
      <c r="AB33" s="6"/>
    </row>
    <row r="34" ht="30.0" customHeight="1">
      <c r="A34" s="1">
        <v>30.0</v>
      </c>
      <c r="B34" s="35" t="s">
        <v>736</v>
      </c>
      <c r="C34" s="25" t="s">
        <v>737</v>
      </c>
      <c r="D34" s="26">
        <v>0.0</v>
      </c>
      <c r="E34" s="26">
        <v>0.00948309898376464</v>
      </c>
      <c r="F34" s="27"/>
      <c r="G34" s="28"/>
      <c r="H34" s="28"/>
      <c r="I34" s="29"/>
      <c r="J34" s="28"/>
      <c r="K34" s="28"/>
      <c r="L34" s="29" t="s">
        <v>738</v>
      </c>
      <c r="M34" s="28">
        <v>0.0</v>
      </c>
      <c r="N34" s="28">
        <v>0.0146279335021972</v>
      </c>
      <c r="O34" s="32"/>
      <c r="P34" s="31"/>
      <c r="Q34" s="31"/>
      <c r="R34" s="29" t="s">
        <v>739</v>
      </c>
      <c r="S34" s="28">
        <v>0.0</v>
      </c>
      <c r="T34" s="28">
        <v>0.0109529495239257</v>
      </c>
      <c r="U34" s="3">
        <f t="shared" si="1"/>
        <v>0.8658032216</v>
      </c>
      <c r="V34" s="3"/>
      <c r="W34" s="3"/>
      <c r="X34" s="3"/>
      <c r="Y34" s="3"/>
      <c r="Z34" s="3"/>
      <c r="AA34" s="3"/>
      <c r="AB34" s="6"/>
    </row>
    <row r="35" ht="30.0" customHeight="1">
      <c r="A35" s="1">
        <v>31.0</v>
      </c>
      <c r="B35" s="35" t="s">
        <v>740</v>
      </c>
      <c r="C35" s="25" t="s">
        <v>741</v>
      </c>
      <c r="D35" s="26">
        <v>0.0</v>
      </c>
      <c r="E35" s="26">
        <v>0.00972747802734375</v>
      </c>
      <c r="F35" s="27"/>
      <c r="G35" s="28"/>
      <c r="H35" s="28"/>
      <c r="I35" s="29"/>
      <c r="J35" s="28"/>
      <c r="K35" s="28"/>
      <c r="L35" s="29" t="s">
        <v>742</v>
      </c>
      <c r="M35" s="28">
        <v>0.0</v>
      </c>
      <c r="N35" s="28">
        <v>0.0174553394317626</v>
      </c>
      <c r="O35" s="32"/>
      <c r="P35" s="31"/>
      <c r="Q35" s="31"/>
      <c r="R35" s="29" t="s">
        <v>743</v>
      </c>
      <c r="S35" s="28">
        <v>0.0</v>
      </c>
      <c r="T35" s="28">
        <v>0.0079803466796875</v>
      </c>
      <c r="U35" s="3">
        <f t="shared" si="1"/>
        <v>1.218929254</v>
      </c>
      <c r="V35" s="3"/>
      <c r="W35" s="3"/>
      <c r="X35" s="3"/>
      <c r="Y35" s="3"/>
      <c r="Z35" s="3"/>
      <c r="AA35" s="3"/>
      <c r="AB35" s="6"/>
    </row>
    <row r="36" ht="30.0" customHeight="1">
      <c r="A36" s="1">
        <v>32.0</v>
      </c>
      <c r="B36" s="35" t="s">
        <v>744</v>
      </c>
      <c r="C36" s="25" t="s">
        <v>745</v>
      </c>
      <c r="D36" s="26">
        <v>0.0</v>
      </c>
      <c r="E36" s="26">
        <v>0.00714373588562011</v>
      </c>
      <c r="F36" s="27"/>
      <c r="G36" s="28"/>
      <c r="H36" s="28"/>
      <c r="I36" s="29"/>
      <c r="J36" s="28"/>
      <c r="K36" s="28"/>
      <c r="L36" s="29" t="s">
        <v>746</v>
      </c>
      <c r="M36" s="28">
        <v>0.0</v>
      </c>
      <c r="N36" s="28">
        <v>0.0112764835357666</v>
      </c>
      <c r="O36" s="32"/>
      <c r="P36" s="31"/>
      <c r="Q36" s="31"/>
      <c r="R36" s="29" t="s">
        <v>747</v>
      </c>
      <c r="S36" s="28">
        <v>0.0</v>
      </c>
      <c r="T36" s="28">
        <v>0.00697755813598632</v>
      </c>
      <c r="U36" s="3">
        <f t="shared" si="1"/>
        <v>1.023816032</v>
      </c>
      <c r="V36" s="3"/>
      <c r="W36" s="3"/>
      <c r="X36" s="3"/>
      <c r="Y36" s="3"/>
      <c r="Z36" s="3"/>
      <c r="AA36" s="3"/>
      <c r="AB36" s="6"/>
    </row>
    <row r="37" ht="30.0" customHeight="1">
      <c r="A37" s="1">
        <v>33.0</v>
      </c>
      <c r="B37" s="35" t="s">
        <v>748</v>
      </c>
      <c r="C37" s="25" t="s">
        <v>749</v>
      </c>
      <c r="D37" s="26">
        <v>0.0</v>
      </c>
      <c r="E37" s="26">
        <v>0.00752997398376464</v>
      </c>
      <c r="F37" s="27"/>
      <c r="G37" s="28"/>
      <c r="H37" s="28"/>
      <c r="I37" s="29"/>
      <c r="J37" s="28"/>
      <c r="K37" s="28"/>
      <c r="L37" s="29" t="s">
        <v>750</v>
      </c>
      <c r="M37" s="28">
        <v>0.0</v>
      </c>
      <c r="N37" s="28">
        <v>0.00530171394348144</v>
      </c>
      <c r="O37" s="32"/>
      <c r="P37" s="31"/>
      <c r="Q37" s="31"/>
      <c r="R37" s="29" t="s">
        <v>751</v>
      </c>
      <c r="S37" s="28">
        <v>0.0</v>
      </c>
      <c r="T37" s="28">
        <v>0.00299930572509765</v>
      </c>
      <c r="U37" s="3">
        <f t="shared" si="1"/>
        <v>2.510572337</v>
      </c>
      <c r="V37" s="3"/>
      <c r="W37" s="3"/>
      <c r="X37" s="3"/>
      <c r="Y37" s="3"/>
      <c r="Z37" s="3"/>
      <c r="AA37" s="3"/>
      <c r="AB37" s="6"/>
    </row>
    <row r="38" ht="30.0" customHeight="1">
      <c r="A38" s="1">
        <v>34.0</v>
      </c>
      <c r="B38" s="35" t="s">
        <v>752</v>
      </c>
      <c r="C38" s="25" t="s">
        <v>753</v>
      </c>
      <c r="D38" s="26">
        <v>0.0</v>
      </c>
      <c r="E38" s="26">
        <v>0.00487971305847168</v>
      </c>
      <c r="F38" s="27"/>
      <c r="G38" s="28"/>
      <c r="H38" s="28"/>
      <c r="I38" s="29"/>
      <c r="J38" s="28"/>
      <c r="K38" s="28"/>
      <c r="L38" s="29" t="s">
        <v>754</v>
      </c>
      <c r="M38" s="28">
        <v>0.0</v>
      </c>
      <c r="N38" s="28">
        <v>0.00803780555725097</v>
      </c>
      <c r="O38" s="32"/>
      <c r="P38" s="31"/>
      <c r="Q38" s="31"/>
      <c r="R38" s="29" t="s">
        <v>755</v>
      </c>
      <c r="S38" s="28">
        <v>0.0</v>
      </c>
      <c r="T38" s="28">
        <v>0.00298810005187988</v>
      </c>
      <c r="U38" s="3">
        <f t="shared" si="1"/>
        <v>1.633048751</v>
      </c>
      <c r="V38" s="3"/>
      <c r="W38" s="3"/>
      <c r="X38" s="3"/>
      <c r="Y38" s="3"/>
      <c r="Z38" s="3"/>
      <c r="AA38" s="3"/>
      <c r="AB38" s="6"/>
    </row>
    <row r="39" ht="30.0" customHeight="1">
      <c r="A39" s="1">
        <v>35.0</v>
      </c>
      <c r="B39" s="35" t="s">
        <v>756</v>
      </c>
      <c r="C39" s="25" t="s">
        <v>757</v>
      </c>
      <c r="D39" s="26">
        <v>0.0</v>
      </c>
      <c r="E39" s="26">
        <v>0.00880932807922363</v>
      </c>
      <c r="F39" s="27"/>
      <c r="G39" s="28"/>
      <c r="H39" s="28"/>
      <c r="I39" s="29"/>
      <c r="J39" s="28"/>
      <c r="K39" s="28"/>
      <c r="L39" s="29" t="s">
        <v>758</v>
      </c>
      <c r="M39" s="28">
        <v>0.0</v>
      </c>
      <c r="N39" s="28">
        <v>0.0120437145233154</v>
      </c>
      <c r="O39" s="32"/>
      <c r="P39" s="31"/>
      <c r="Q39" s="31"/>
      <c r="R39" s="29" t="s">
        <v>759</v>
      </c>
      <c r="S39" s="28">
        <v>0.0</v>
      </c>
      <c r="T39" s="28">
        <v>0.00498628616333007</v>
      </c>
      <c r="U39" s="3">
        <f t="shared" si="1"/>
        <v>1.766711294</v>
      </c>
      <c r="V39" s="3"/>
      <c r="W39" s="3"/>
      <c r="X39" s="3"/>
      <c r="Y39" s="3"/>
      <c r="Z39" s="3"/>
      <c r="AA39" s="3"/>
      <c r="AB39" s="6"/>
    </row>
    <row r="40" ht="30.0" customHeight="1">
      <c r="A40" s="1">
        <v>36.0</v>
      </c>
      <c r="B40" s="35" t="s">
        <v>760</v>
      </c>
      <c r="C40" s="25" t="s">
        <v>761</v>
      </c>
      <c r="D40" s="26">
        <v>0.0</v>
      </c>
      <c r="E40" s="26">
        <v>0.00696039199829101</v>
      </c>
      <c r="F40" s="27"/>
      <c r="G40" s="28"/>
      <c r="H40" s="28"/>
      <c r="I40" s="29"/>
      <c r="J40" s="28"/>
      <c r="K40" s="28"/>
      <c r="L40" s="29" t="s">
        <v>762</v>
      </c>
      <c r="M40" s="28">
        <v>0.0</v>
      </c>
      <c r="N40" s="28">
        <v>0.0229322910308837</v>
      </c>
      <c r="O40" s="32"/>
      <c r="P40" s="31"/>
      <c r="Q40" s="31"/>
      <c r="R40" s="29" t="s">
        <v>763</v>
      </c>
      <c r="S40" s="28">
        <v>0.0</v>
      </c>
      <c r="T40" s="28">
        <v>0.0145015716552734</v>
      </c>
      <c r="U40" s="3">
        <f t="shared" si="1"/>
        <v>0.4799750099</v>
      </c>
      <c r="V40" s="3"/>
      <c r="W40" s="3"/>
      <c r="X40" s="3"/>
      <c r="Y40" s="3"/>
      <c r="Z40" s="3"/>
      <c r="AA40" s="3"/>
      <c r="AB40" s="6"/>
    </row>
    <row r="41" ht="30.0" customHeight="1">
      <c r="A41" s="1">
        <v>37.0</v>
      </c>
      <c r="B41" s="35" t="s">
        <v>764</v>
      </c>
      <c r="C41" s="25" t="s">
        <v>765</v>
      </c>
      <c r="D41" s="26">
        <v>0.0</v>
      </c>
      <c r="E41" s="26">
        <v>0.0107245445251464</v>
      </c>
      <c r="F41" s="27"/>
      <c r="G41" s="28"/>
      <c r="H41" s="28"/>
      <c r="I41" s="29"/>
      <c r="J41" s="28"/>
      <c r="K41" s="28"/>
      <c r="L41" s="29" t="s">
        <v>766</v>
      </c>
      <c r="M41" s="28">
        <v>0.0</v>
      </c>
      <c r="N41" s="28">
        <v>0.0167274475097656</v>
      </c>
      <c r="O41" s="32"/>
      <c r="P41" s="31"/>
      <c r="Q41" s="31"/>
      <c r="R41" s="29" t="s">
        <v>767</v>
      </c>
      <c r="S41" s="28">
        <v>0.0</v>
      </c>
      <c r="T41" s="28">
        <v>0.00796484947204589</v>
      </c>
      <c r="U41" s="3">
        <f t="shared" si="1"/>
        <v>1.34648427</v>
      </c>
      <c r="V41" s="3"/>
      <c r="W41" s="3"/>
      <c r="X41" s="3"/>
      <c r="Y41" s="3"/>
      <c r="Z41" s="3"/>
      <c r="AA41" s="3"/>
      <c r="AB41" s="6"/>
    </row>
    <row r="42" ht="30.0" customHeight="1">
      <c r="A42" s="1">
        <v>38.0</v>
      </c>
      <c r="B42" s="35" t="s">
        <v>768</v>
      </c>
      <c r="C42" s="25" t="s">
        <v>769</v>
      </c>
      <c r="D42" s="26">
        <v>0.0</v>
      </c>
      <c r="E42" s="26">
        <v>0.00469303131103515</v>
      </c>
      <c r="F42" s="27"/>
      <c r="G42" s="28"/>
      <c r="H42" s="28"/>
      <c r="I42" s="29"/>
      <c r="J42" s="28"/>
      <c r="K42" s="28"/>
      <c r="L42" s="29" t="s">
        <v>770</v>
      </c>
      <c r="M42" s="28">
        <v>0.0</v>
      </c>
      <c r="N42" s="28">
        <v>0.0169718265533447</v>
      </c>
      <c r="O42" s="32"/>
      <c r="P42" s="31"/>
      <c r="Q42" s="31"/>
      <c r="R42" s="29" t="s">
        <v>771</v>
      </c>
      <c r="S42" s="28">
        <v>0.0</v>
      </c>
      <c r="T42" s="28">
        <v>0.0109634399414062</v>
      </c>
      <c r="U42" s="3">
        <f t="shared" si="1"/>
        <v>0.4280619346</v>
      </c>
      <c r="V42" s="3"/>
      <c r="W42" s="3"/>
      <c r="X42" s="3"/>
      <c r="Y42" s="3"/>
      <c r="Z42" s="3"/>
      <c r="AA42" s="3"/>
      <c r="AB42" s="6"/>
    </row>
    <row r="43" ht="30.0" customHeight="1">
      <c r="A43" s="1">
        <v>39.0</v>
      </c>
      <c r="B43" s="35" t="s">
        <v>772</v>
      </c>
      <c r="C43" s="25" t="s">
        <v>773</v>
      </c>
      <c r="D43" s="26">
        <v>0.0</v>
      </c>
      <c r="E43" s="26">
        <v>0.00710034370422363</v>
      </c>
      <c r="F43" s="27"/>
      <c r="G43" s="28"/>
      <c r="H43" s="28"/>
      <c r="I43" s="29"/>
      <c r="J43" s="28"/>
      <c r="K43" s="28"/>
      <c r="L43" s="29" t="s">
        <v>774</v>
      </c>
      <c r="M43" s="28">
        <v>0.0</v>
      </c>
      <c r="N43" s="28">
        <v>0.0102081298828125</v>
      </c>
      <c r="O43" s="32"/>
      <c r="P43" s="31"/>
      <c r="Q43" s="31"/>
      <c r="R43" s="29" t="s">
        <v>775</v>
      </c>
      <c r="S43" s="28">
        <v>0.0</v>
      </c>
      <c r="T43" s="28">
        <v>0.00597929954528808</v>
      </c>
      <c r="U43" s="3">
        <f t="shared" si="1"/>
        <v>1.187487539</v>
      </c>
      <c r="V43" s="3"/>
      <c r="W43" s="3"/>
      <c r="X43" s="3"/>
      <c r="Y43" s="3"/>
      <c r="Z43" s="3"/>
      <c r="AA43" s="3"/>
      <c r="AB43" s="6"/>
    </row>
    <row r="44" ht="30.0" customHeight="1">
      <c r="A44" s="1">
        <v>40.0</v>
      </c>
      <c r="B44" s="35" t="s">
        <v>776</v>
      </c>
      <c r="C44" s="25" t="s">
        <v>777</v>
      </c>
      <c r="D44" s="26">
        <v>0.0</v>
      </c>
      <c r="E44" s="26">
        <v>0.00990748405456543</v>
      </c>
      <c r="F44" s="27"/>
      <c r="G44" s="28"/>
      <c r="H44" s="28"/>
      <c r="I44" s="29"/>
      <c r="J44" s="28"/>
      <c r="K44" s="28"/>
      <c r="L44" s="29" t="s">
        <v>778</v>
      </c>
      <c r="M44" s="28">
        <v>0.0</v>
      </c>
      <c r="N44" s="28">
        <v>0.00954985618591308</v>
      </c>
      <c r="O44" s="32"/>
      <c r="P44" s="31"/>
      <c r="Q44" s="31"/>
      <c r="R44" s="29" t="s">
        <v>779</v>
      </c>
      <c r="S44" s="28">
        <v>0.0</v>
      </c>
      <c r="T44" s="28">
        <v>0.00300383567810058</v>
      </c>
      <c r="U44" s="3">
        <f t="shared" si="1"/>
        <v>3.298277641</v>
      </c>
      <c r="V44" s="3"/>
      <c r="W44" s="3"/>
      <c r="X44" s="3"/>
      <c r="Y44" s="3"/>
      <c r="Z44" s="3"/>
      <c r="AA44" s="3"/>
      <c r="AB44" s="6"/>
    </row>
    <row r="45" ht="30.0" customHeight="1">
      <c r="A45" s="1">
        <v>41.0</v>
      </c>
      <c r="B45" s="35" t="s">
        <v>780</v>
      </c>
      <c r="C45" s="25" t="s">
        <v>781</v>
      </c>
      <c r="D45" s="26">
        <v>0.0</v>
      </c>
      <c r="E45" s="26">
        <v>0.0076000690460205</v>
      </c>
      <c r="F45" s="27"/>
      <c r="G45" s="28"/>
      <c r="H45" s="28"/>
      <c r="I45" s="29"/>
      <c r="J45" s="28"/>
      <c r="K45" s="28"/>
      <c r="L45" s="29" t="s">
        <v>782</v>
      </c>
      <c r="M45" s="28">
        <v>0.0</v>
      </c>
      <c r="N45" s="28">
        <v>0.00600695610046386</v>
      </c>
      <c r="O45" s="32"/>
      <c r="P45" s="31"/>
      <c r="Q45" s="31"/>
      <c r="R45" s="29" t="s">
        <v>783</v>
      </c>
      <c r="S45" s="28">
        <v>0.0</v>
      </c>
      <c r="T45" s="28">
        <v>0.00294113159179687</v>
      </c>
      <c r="U45" s="3">
        <f t="shared" si="1"/>
        <v>2.584062905</v>
      </c>
      <c r="V45" s="3"/>
      <c r="W45" s="3"/>
      <c r="X45" s="3"/>
      <c r="Y45" s="3"/>
      <c r="Z45" s="3"/>
      <c r="AA45" s="3"/>
      <c r="AB45" s="6"/>
    </row>
    <row r="46" ht="30.0" customHeight="1">
      <c r="A46" s="1">
        <v>42.0</v>
      </c>
      <c r="B46" s="35" t="s">
        <v>784</v>
      </c>
      <c r="C46" s="25" t="s">
        <v>785</v>
      </c>
      <c r="D46" s="26">
        <v>0.0</v>
      </c>
      <c r="E46" s="26">
        <v>0.00600075721740722</v>
      </c>
      <c r="F46" s="27"/>
      <c r="G46" s="28"/>
      <c r="H46" s="28"/>
      <c r="I46" s="29"/>
      <c r="J46" s="28"/>
      <c r="K46" s="28"/>
      <c r="L46" s="29" t="s">
        <v>786</v>
      </c>
      <c r="M46" s="28">
        <v>0.0</v>
      </c>
      <c r="N46" s="28">
        <v>0.011824607849121</v>
      </c>
      <c r="O46" s="32"/>
      <c r="P46" s="31"/>
      <c r="Q46" s="31"/>
      <c r="R46" s="29" t="s">
        <v>787</v>
      </c>
      <c r="S46" s="28">
        <v>0.0</v>
      </c>
      <c r="T46" s="28">
        <v>0.00534582138061523</v>
      </c>
      <c r="U46" s="3">
        <f t="shared" si="1"/>
        <v>1.122513603</v>
      </c>
      <c r="V46" s="3"/>
      <c r="W46" s="3"/>
      <c r="X46" s="3"/>
      <c r="Y46" s="3"/>
      <c r="Z46" s="3"/>
      <c r="AA46" s="3"/>
      <c r="AB46" s="6"/>
    </row>
    <row r="47" ht="30.0" customHeight="1">
      <c r="A47" s="1">
        <v>43.0</v>
      </c>
      <c r="B47" s="35" t="s">
        <v>788</v>
      </c>
      <c r="C47" s="25" t="s">
        <v>789</v>
      </c>
      <c r="D47" s="26">
        <v>0.0</v>
      </c>
      <c r="E47" s="26">
        <v>0.0204451084136962</v>
      </c>
      <c r="F47" s="27"/>
      <c r="G47" s="28"/>
      <c r="H47" s="28"/>
      <c r="I47" s="29"/>
      <c r="J47" s="28"/>
      <c r="K47" s="28"/>
      <c r="L47" s="29" t="s">
        <v>790</v>
      </c>
      <c r="M47" s="28">
        <v>0.0</v>
      </c>
      <c r="N47" s="28">
        <v>0.0332412719726562</v>
      </c>
      <c r="O47" s="32"/>
      <c r="P47" s="31"/>
      <c r="Q47" s="31"/>
      <c r="R47" s="29" t="s">
        <v>791</v>
      </c>
      <c r="S47" s="28">
        <v>0.0</v>
      </c>
      <c r="T47" s="28">
        <v>0.018935203552246</v>
      </c>
      <c r="U47" s="3">
        <f t="shared" si="1"/>
        <v>1.079740619</v>
      </c>
      <c r="V47" s="3"/>
      <c r="W47" s="3"/>
      <c r="X47" s="3"/>
      <c r="Y47" s="3"/>
      <c r="Z47" s="3"/>
      <c r="AA47" s="3"/>
      <c r="AB47" s="6"/>
    </row>
    <row r="48" ht="30.0" customHeight="1">
      <c r="A48" s="1">
        <v>44.0</v>
      </c>
      <c r="B48" s="35" t="s">
        <v>792</v>
      </c>
      <c r="C48" s="25" t="s">
        <v>793</v>
      </c>
      <c r="D48" s="26">
        <v>0.0</v>
      </c>
      <c r="E48" s="26">
        <v>0.0</v>
      </c>
      <c r="F48" s="27"/>
      <c r="G48" s="28"/>
      <c r="H48" s="28"/>
      <c r="I48" s="29"/>
      <c r="J48" s="28"/>
      <c r="K48" s="28"/>
      <c r="L48" s="29" t="s">
        <v>794</v>
      </c>
      <c r="M48" s="28">
        <v>0.0</v>
      </c>
      <c r="N48" s="28">
        <v>0.0270638465881347</v>
      </c>
      <c r="O48" s="32"/>
      <c r="P48" s="31"/>
      <c r="Q48" s="31"/>
      <c r="R48" s="29" t="s">
        <v>795</v>
      </c>
      <c r="S48" s="28">
        <v>0.0</v>
      </c>
      <c r="T48" s="28">
        <v>0.0109648704528808</v>
      </c>
      <c r="U48" s="3">
        <f t="shared" si="1"/>
        <v>0</v>
      </c>
      <c r="V48" s="3"/>
      <c r="W48" s="3"/>
      <c r="X48" s="3"/>
      <c r="Y48" s="3"/>
      <c r="Z48" s="3"/>
      <c r="AA48" s="3"/>
      <c r="AB48" s="6"/>
    </row>
    <row r="49" ht="30.0" customHeight="1">
      <c r="A49" s="1">
        <v>45.0</v>
      </c>
      <c r="B49" s="35" t="s">
        <v>796</v>
      </c>
      <c r="C49" s="25" t="s">
        <v>797</v>
      </c>
      <c r="D49" s="26">
        <v>0.0</v>
      </c>
      <c r="E49" s="26">
        <v>0.0229687690734863</v>
      </c>
      <c r="F49" s="27"/>
      <c r="G49" s="28"/>
      <c r="H49" s="28"/>
      <c r="I49" s="29"/>
      <c r="J49" s="28"/>
      <c r="K49" s="28"/>
      <c r="L49" s="29" t="s">
        <v>798</v>
      </c>
      <c r="M49" s="28">
        <v>0.0</v>
      </c>
      <c r="N49" s="28">
        <v>0.0252606868743896</v>
      </c>
      <c r="O49" s="32"/>
      <c r="P49" s="31"/>
      <c r="Q49" s="31"/>
      <c r="R49" s="29" t="s">
        <v>799</v>
      </c>
      <c r="S49" s="28">
        <v>0.0</v>
      </c>
      <c r="T49" s="28">
        <v>0.0139451026916503</v>
      </c>
      <c r="U49" s="3">
        <f t="shared" si="1"/>
        <v>1.647084972</v>
      </c>
      <c r="V49" s="3"/>
      <c r="W49" s="3"/>
      <c r="X49" s="3"/>
      <c r="Y49" s="3"/>
      <c r="Z49" s="3"/>
      <c r="AA49" s="3"/>
      <c r="AB49" s="6"/>
    </row>
    <row r="50" ht="30.0" customHeight="1">
      <c r="A50" s="1">
        <v>46.0</v>
      </c>
      <c r="B50" s="35" t="s">
        <v>800</v>
      </c>
      <c r="C50" s="25" t="s">
        <v>801</v>
      </c>
      <c r="D50" s="26">
        <v>0.0</v>
      </c>
      <c r="E50" s="26">
        <v>0.00703334808349609</v>
      </c>
      <c r="F50" s="27"/>
      <c r="G50" s="28"/>
      <c r="H50" s="28"/>
      <c r="I50" s="29"/>
      <c r="J50" s="28"/>
      <c r="K50" s="28"/>
      <c r="L50" s="29" t="s">
        <v>802</v>
      </c>
      <c r="M50" s="28">
        <v>0.0</v>
      </c>
      <c r="N50" s="28">
        <v>0.0277519226074218</v>
      </c>
      <c r="O50" s="32"/>
      <c r="P50" s="31"/>
      <c r="Q50" s="31"/>
      <c r="R50" s="29" t="s">
        <v>803</v>
      </c>
      <c r="S50" s="28">
        <v>0.0</v>
      </c>
      <c r="T50" s="28">
        <v>0.00897812843322753</v>
      </c>
      <c r="U50" s="3">
        <f t="shared" si="1"/>
        <v>0.7833868869</v>
      </c>
      <c r="V50" s="3"/>
      <c r="W50" s="3"/>
      <c r="X50" s="3"/>
      <c r="Y50" s="3"/>
      <c r="Z50" s="3"/>
      <c r="AA50" s="3"/>
      <c r="AB50" s="6"/>
    </row>
    <row r="51" ht="30.0" customHeight="1">
      <c r="A51" s="1">
        <v>47.0</v>
      </c>
      <c r="B51" s="35" t="s">
        <v>804</v>
      </c>
      <c r="C51" s="25" t="s">
        <v>805</v>
      </c>
      <c r="D51" s="26">
        <v>0.0</v>
      </c>
      <c r="E51" s="26">
        <v>0.00981450080871582</v>
      </c>
      <c r="F51" s="27"/>
      <c r="G51" s="28"/>
      <c r="H51" s="28"/>
      <c r="I51" s="29"/>
      <c r="J51" s="28"/>
      <c r="K51" s="28"/>
      <c r="L51" s="29" t="s">
        <v>806</v>
      </c>
      <c r="M51" s="28">
        <v>0.0</v>
      </c>
      <c r="N51" s="28">
        <v>0.0110971927642822</v>
      </c>
      <c r="O51" s="32"/>
      <c r="P51" s="31"/>
      <c r="Q51" s="31"/>
      <c r="R51" s="29" t="s">
        <v>807</v>
      </c>
      <c r="S51" s="28">
        <v>0.0</v>
      </c>
      <c r="T51" s="28">
        <v>0.00599980354309082</v>
      </c>
      <c r="U51" s="3">
        <f t="shared" si="1"/>
        <v>1.635803696</v>
      </c>
      <c r="V51" s="3"/>
      <c r="W51" s="3"/>
      <c r="X51" s="3"/>
      <c r="Y51" s="3"/>
      <c r="Z51" s="3"/>
      <c r="AA51" s="3"/>
      <c r="AB51" s="6"/>
    </row>
    <row r="52" ht="30.0" customHeight="1">
      <c r="A52" s="1">
        <v>48.0</v>
      </c>
      <c r="B52" s="35" t="s">
        <v>808</v>
      </c>
      <c r="C52" s="25" t="s">
        <v>809</v>
      </c>
      <c r="D52" s="26">
        <v>0.0</v>
      </c>
      <c r="E52" s="26">
        <v>0.00507378578186035</v>
      </c>
      <c r="F52" s="27"/>
      <c r="G52" s="28"/>
      <c r="H52" s="28"/>
      <c r="I52" s="29"/>
      <c r="J52" s="28"/>
      <c r="K52" s="28"/>
      <c r="L52" s="29" t="s">
        <v>810</v>
      </c>
      <c r="M52" s="28">
        <v>0.0</v>
      </c>
      <c r="N52" s="28">
        <v>0.0163187980651855</v>
      </c>
      <c r="O52" s="32"/>
      <c r="P52" s="31"/>
      <c r="Q52" s="31"/>
      <c r="R52" s="29" t="s">
        <v>811</v>
      </c>
      <c r="S52" s="28">
        <v>0.0</v>
      </c>
      <c r="T52" s="28">
        <v>0.00598001480102539</v>
      </c>
      <c r="U52" s="3">
        <f t="shared" si="1"/>
        <v>0.8484570608</v>
      </c>
      <c r="V52" s="3"/>
      <c r="W52" s="3"/>
      <c r="X52" s="3"/>
      <c r="Y52" s="3"/>
      <c r="Z52" s="3"/>
      <c r="AA52" s="3"/>
      <c r="AB52" s="6"/>
    </row>
    <row r="53" ht="30.0" customHeight="1">
      <c r="A53" s="1">
        <v>49.0</v>
      </c>
      <c r="B53" s="35" t="s">
        <v>812</v>
      </c>
      <c r="C53" s="25" t="s">
        <v>813</v>
      </c>
      <c r="D53" s="26">
        <v>0.0</v>
      </c>
      <c r="E53" s="26">
        <v>0.0179052352905273</v>
      </c>
      <c r="F53" s="27"/>
      <c r="G53" s="28"/>
      <c r="H53" s="28"/>
      <c r="I53" s="29"/>
      <c r="J53" s="28"/>
      <c r="K53" s="28"/>
      <c r="L53" s="29" t="s">
        <v>814</v>
      </c>
      <c r="M53" s="28">
        <v>0.0</v>
      </c>
      <c r="N53" s="28">
        <v>0.0274686813354492</v>
      </c>
      <c r="O53" s="32"/>
      <c r="P53" s="31"/>
      <c r="Q53" s="31"/>
      <c r="R53" s="29" t="s">
        <v>815</v>
      </c>
      <c r="S53" s="28">
        <v>0.0</v>
      </c>
      <c r="T53" s="28">
        <v>0.00797414779663086</v>
      </c>
      <c r="U53" s="3">
        <f t="shared" si="1"/>
        <v>2.245410512</v>
      </c>
      <c r="V53" s="3"/>
      <c r="W53" s="3"/>
      <c r="X53" s="3"/>
      <c r="Y53" s="3"/>
      <c r="Z53" s="3"/>
      <c r="AA53" s="3"/>
      <c r="AB53" s="6"/>
    </row>
    <row r="54" ht="30.0" customHeight="1">
      <c r="A54" s="1">
        <v>50.0</v>
      </c>
      <c r="B54" s="35"/>
      <c r="C54" s="25"/>
      <c r="D54" s="26"/>
      <c r="E54" s="26"/>
      <c r="F54" s="27"/>
      <c r="G54" s="28"/>
      <c r="H54" s="28"/>
      <c r="I54" s="29"/>
      <c r="J54" s="28"/>
      <c r="K54" s="28"/>
      <c r="L54" s="29"/>
      <c r="M54" s="28"/>
      <c r="N54" s="28"/>
      <c r="O54" s="32"/>
      <c r="P54" s="31"/>
      <c r="Q54" s="31"/>
      <c r="R54" s="29"/>
      <c r="S54" s="28"/>
      <c r="T54" s="28"/>
      <c r="U54" s="3">
        <f>AVERAGE(U5:U53)</f>
        <v>1.216093052</v>
      </c>
      <c r="V54" s="3"/>
      <c r="W54" s="3"/>
      <c r="X54" s="3"/>
      <c r="Y54" s="3"/>
      <c r="Z54" s="3"/>
      <c r="AA54" s="3"/>
      <c r="AB54" s="6"/>
    </row>
    <row r="55" ht="15.75" customHeight="1">
      <c r="A55" s="36"/>
      <c r="C55" s="35"/>
      <c r="D55" s="2"/>
      <c r="E55" s="37">
        <f>SUM(E5:E54)</f>
        <v>0.6051039696</v>
      </c>
      <c r="F55" s="2"/>
      <c r="G55" s="2"/>
      <c r="H55" s="38">
        <f>SUM(H5:H54)</f>
        <v>0</v>
      </c>
      <c r="I55" s="2"/>
      <c r="J55" s="2"/>
      <c r="K55" s="38">
        <f>SUM(K5:K54)</f>
        <v>0</v>
      </c>
      <c r="L55" s="2"/>
      <c r="M55" s="2"/>
      <c r="N55" s="38">
        <f>SUM(N5:N54)</f>
        <v>1.171951532</v>
      </c>
      <c r="O55" s="35"/>
      <c r="P55" s="2"/>
      <c r="Q55" s="2"/>
      <c r="R55" s="2"/>
      <c r="S55" s="2"/>
      <c r="T55" s="38">
        <f>SUM(T5:T54)</f>
        <v>0.5441255569</v>
      </c>
      <c r="U55" s="3"/>
      <c r="V55" s="3"/>
      <c r="W55" s="3"/>
      <c r="X55" s="3"/>
      <c r="Y55" s="3"/>
      <c r="Z55" s="3"/>
      <c r="AA55" s="3"/>
      <c r="AB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2"/>
      <c r="J56" s="2"/>
      <c r="K56" s="2"/>
      <c r="L56" s="2"/>
      <c r="M56" s="2"/>
      <c r="N56" s="2"/>
      <c r="O56" s="35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  <c r="AA56" s="3"/>
      <c r="AB56" s="6"/>
    </row>
    <row r="57" ht="15.75" customHeight="1">
      <c r="A57" s="36"/>
      <c r="C57" s="35"/>
      <c r="D57" s="2"/>
      <c r="E57" s="39"/>
      <c r="F57" s="2"/>
      <c r="G57" s="2"/>
      <c r="H57" s="2"/>
      <c r="I57" s="2"/>
      <c r="J57" s="2"/>
      <c r="K57" s="2"/>
      <c r="L57" s="2"/>
      <c r="M57" s="2"/>
      <c r="N57" s="2"/>
      <c r="O57" s="35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  <c r="AA57" s="3"/>
      <c r="AB57" s="6"/>
    </row>
    <row r="58" ht="15.75" customHeight="1">
      <c r="A58" s="36"/>
      <c r="C58" s="35"/>
      <c r="D58" s="2"/>
      <c r="E58" s="39"/>
      <c r="F58" s="2"/>
      <c r="G58" s="2"/>
      <c r="H58" s="2"/>
      <c r="I58" s="2"/>
      <c r="J58" s="2"/>
      <c r="K58" s="2"/>
      <c r="L58" s="2"/>
      <c r="M58" s="2"/>
      <c r="N58" s="2"/>
      <c r="O58" s="35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  <c r="AA58" s="3"/>
      <c r="AB58" s="6"/>
    </row>
    <row r="59" ht="15.75" customHeight="1">
      <c r="A59" s="36"/>
      <c r="C59" s="35"/>
      <c r="D59" s="2"/>
      <c r="E59" s="39"/>
      <c r="F59" s="2"/>
      <c r="G59" s="2"/>
      <c r="H59" s="2"/>
      <c r="I59" s="2"/>
      <c r="J59" s="2"/>
      <c r="K59" s="2"/>
      <c r="L59" s="2"/>
      <c r="M59" s="2"/>
      <c r="N59" s="2"/>
      <c r="O59" s="35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  <c r="AA59" s="3"/>
      <c r="AB59" s="6"/>
    </row>
    <row r="60" ht="15.75" customHeight="1">
      <c r="A60" s="36"/>
      <c r="C60" s="35"/>
      <c r="D60" s="2"/>
      <c r="E60" s="39"/>
      <c r="F60" s="2"/>
      <c r="G60" s="2"/>
      <c r="H60" s="2"/>
      <c r="I60" s="2"/>
      <c r="J60" s="2"/>
      <c r="K60" s="2"/>
      <c r="L60" s="2"/>
      <c r="M60" s="2"/>
      <c r="N60" s="2"/>
      <c r="O60" s="35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  <c r="AA60" s="3"/>
      <c r="AB60" s="6"/>
    </row>
    <row r="61" ht="15.75" customHeight="1">
      <c r="A61" s="36"/>
      <c r="C61" s="35"/>
      <c r="D61" s="2"/>
      <c r="E61" s="39"/>
      <c r="F61" s="2"/>
      <c r="G61" s="2"/>
      <c r="H61" s="2"/>
      <c r="I61" s="2"/>
      <c r="J61" s="2"/>
      <c r="K61" s="2"/>
      <c r="L61" s="2"/>
      <c r="M61" s="2"/>
      <c r="N61" s="2"/>
      <c r="O61" s="35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  <c r="AA61" s="3"/>
      <c r="AB61" s="6"/>
    </row>
    <row r="62" ht="15.75" customHeight="1">
      <c r="A62" s="36"/>
      <c r="C62" s="35"/>
      <c r="D62" s="2"/>
      <c r="E62" s="39"/>
      <c r="F62" s="2"/>
      <c r="G62" s="2"/>
      <c r="H62" s="2"/>
      <c r="I62" s="2"/>
      <c r="J62" s="2"/>
      <c r="K62" s="2"/>
      <c r="L62" s="2"/>
      <c r="M62" s="2"/>
      <c r="N62" s="2"/>
      <c r="O62" s="35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  <c r="AA62" s="3"/>
      <c r="AB62" s="6"/>
    </row>
    <row r="63" ht="15.75" customHeight="1">
      <c r="A63" s="36"/>
      <c r="C63" s="35"/>
      <c r="D63" s="2"/>
      <c r="E63" s="39"/>
      <c r="F63" s="2"/>
      <c r="G63" s="2"/>
      <c r="H63" s="2"/>
      <c r="I63" s="2"/>
      <c r="J63" s="2"/>
      <c r="K63" s="2"/>
      <c r="L63" s="2"/>
      <c r="M63" s="2"/>
      <c r="N63" s="2"/>
      <c r="O63" s="35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  <c r="AA63" s="3"/>
      <c r="AB63" s="6"/>
    </row>
    <row r="64" ht="15.75" customHeight="1">
      <c r="A64" s="36"/>
      <c r="C64" s="35"/>
      <c r="D64" s="2"/>
      <c r="E64" s="39"/>
      <c r="F64" s="2"/>
      <c r="G64" s="2"/>
      <c r="H64" s="2"/>
      <c r="I64" s="2"/>
      <c r="J64" s="2"/>
      <c r="K64" s="2"/>
      <c r="L64" s="2"/>
      <c r="M64" s="2"/>
      <c r="N64" s="2"/>
      <c r="O64" s="35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  <c r="AA64" s="3"/>
      <c r="AB64" s="6"/>
    </row>
    <row r="65" ht="15.75" customHeight="1">
      <c r="A65" s="36"/>
      <c r="C65" s="35"/>
      <c r="D65" s="2"/>
      <c r="E65" s="39"/>
      <c r="F65" s="2"/>
      <c r="G65" s="2"/>
      <c r="H65" s="2"/>
      <c r="I65" s="2"/>
      <c r="J65" s="2"/>
      <c r="K65" s="2"/>
      <c r="L65" s="2"/>
      <c r="M65" s="2"/>
      <c r="N65" s="2"/>
      <c r="O65" s="35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  <c r="AA65" s="3"/>
      <c r="AB65" s="6"/>
    </row>
    <row r="66" ht="15.75" customHeight="1">
      <c r="A66" s="36"/>
      <c r="C66" s="35"/>
      <c r="D66" s="2"/>
      <c r="E66" s="39"/>
      <c r="F66" s="2"/>
      <c r="G66" s="2"/>
      <c r="H66" s="2"/>
      <c r="I66" s="2"/>
      <c r="J66" s="2"/>
      <c r="K66" s="2"/>
      <c r="L66" s="2"/>
      <c r="M66" s="2"/>
      <c r="N66" s="2"/>
      <c r="O66" s="35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  <c r="AA66" s="3"/>
      <c r="AB66" s="6"/>
    </row>
    <row r="67" ht="15.75" customHeight="1">
      <c r="A67" s="36"/>
      <c r="C67" s="35"/>
      <c r="D67" s="2"/>
      <c r="E67" s="39"/>
      <c r="F67" s="2"/>
      <c r="G67" s="2"/>
      <c r="H67" s="2"/>
      <c r="I67" s="2"/>
      <c r="J67" s="2"/>
      <c r="K67" s="2"/>
      <c r="L67" s="2"/>
      <c r="M67" s="2"/>
      <c r="N67" s="2"/>
      <c r="O67" s="35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  <c r="AA67" s="3"/>
      <c r="AB67" s="6"/>
    </row>
    <row r="68" ht="15.75" customHeight="1">
      <c r="A68" s="36"/>
      <c r="C68" s="35"/>
      <c r="D68" s="2"/>
      <c r="E68" s="39"/>
      <c r="F68" s="2"/>
      <c r="G68" s="2"/>
      <c r="H68" s="2"/>
      <c r="I68" s="2"/>
      <c r="J68" s="2"/>
      <c r="K68" s="2"/>
      <c r="L68" s="2"/>
      <c r="M68" s="2"/>
      <c r="N68" s="2"/>
      <c r="O68" s="35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  <c r="AA68" s="3"/>
      <c r="AB68" s="6"/>
    </row>
    <row r="69" ht="15.75" customHeight="1">
      <c r="A69" s="36"/>
      <c r="C69" s="35"/>
      <c r="D69" s="2"/>
      <c r="E69" s="39"/>
      <c r="F69" s="2"/>
      <c r="G69" s="2"/>
      <c r="H69" s="2"/>
      <c r="I69" s="2"/>
      <c r="J69" s="2"/>
      <c r="K69" s="2"/>
      <c r="L69" s="2"/>
      <c r="M69" s="2"/>
      <c r="N69" s="2"/>
      <c r="O69" s="35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  <c r="AA69" s="3"/>
      <c r="AB69" s="6"/>
    </row>
    <row r="70" ht="15.75" customHeight="1">
      <c r="A70" s="36"/>
      <c r="C70" s="35"/>
      <c r="D70" s="2"/>
      <c r="E70" s="39"/>
      <c r="F70" s="2"/>
      <c r="G70" s="2"/>
      <c r="H70" s="2"/>
      <c r="I70" s="2"/>
      <c r="J70" s="2"/>
      <c r="K70" s="2"/>
      <c r="L70" s="2"/>
      <c r="M70" s="2"/>
      <c r="N70" s="2"/>
      <c r="O70" s="35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  <c r="AA70" s="3"/>
      <c r="AB70" s="6"/>
    </row>
    <row r="71" ht="15.75" customHeight="1">
      <c r="A71" s="36"/>
      <c r="C71" s="35"/>
      <c r="D71" s="2"/>
      <c r="E71" s="39"/>
      <c r="F71" s="2"/>
      <c r="G71" s="2"/>
      <c r="H71" s="2"/>
      <c r="I71" s="2"/>
      <c r="J71" s="2"/>
      <c r="K71" s="2"/>
      <c r="L71" s="2"/>
      <c r="M71" s="2"/>
      <c r="N71" s="2"/>
      <c r="O71" s="35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  <c r="AA71" s="3"/>
      <c r="AB71" s="6"/>
    </row>
    <row r="72" ht="15.75" customHeight="1">
      <c r="A72" s="36"/>
      <c r="C72" s="35"/>
      <c r="D72" s="2"/>
      <c r="E72" s="39"/>
      <c r="F72" s="2"/>
      <c r="G72" s="2"/>
      <c r="H72" s="2"/>
      <c r="I72" s="2"/>
      <c r="J72" s="2"/>
      <c r="K72" s="2"/>
      <c r="L72" s="2"/>
      <c r="M72" s="2"/>
      <c r="N72" s="2"/>
      <c r="O72" s="35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  <c r="AA72" s="3"/>
      <c r="AB72" s="6"/>
    </row>
    <row r="73" ht="15.75" customHeight="1">
      <c r="A73" s="36"/>
      <c r="C73" s="35"/>
      <c r="D73" s="2"/>
      <c r="E73" s="39"/>
      <c r="F73" s="2"/>
      <c r="G73" s="2"/>
      <c r="H73" s="2"/>
      <c r="I73" s="2"/>
      <c r="J73" s="2"/>
      <c r="K73" s="2"/>
      <c r="L73" s="2"/>
      <c r="M73" s="2"/>
      <c r="N73" s="2"/>
      <c r="O73" s="35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  <c r="AA73" s="3"/>
      <c r="AB73" s="6"/>
    </row>
    <row r="74" ht="15.75" customHeight="1">
      <c r="A74" s="36"/>
      <c r="C74" s="35"/>
      <c r="D74" s="2"/>
      <c r="E74" s="39"/>
      <c r="F74" s="2"/>
      <c r="G74" s="2"/>
      <c r="H74" s="2"/>
      <c r="I74" s="2"/>
      <c r="J74" s="2"/>
      <c r="K74" s="2"/>
      <c r="L74" s="2"/>
      <c r="M74" s="2"/>
      <c r="N74" s="2"/>
      <c r="O74" s="35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  <c r="AA74" s="3"/>
      <c r="AB74" s="6"/>
    </row>
    <row r="75" ht="15.75" customHeight="1">
      <c r="A75" s="36"/>
      <c r="C75" s="35"/>
      <c r="D75" s="2"/>
      <c r="E75" s="39"/>
      <c r="F75" s="2"/>
      <c r="G75" s="2"/>
      <c r="H75" s="2"/>
      <c r="I75" s="2"/>
      <c r="J75" s="2"/>
      <c r="K75" s="2"/>
      <c r="L75" s="2"/>
      <c r="M75" s="2"/>
      <c r="N75" s="2"/>
      <c r="O75" s="35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  <c r="AA75" s="3"/>
      <c r="AB75" s="6"/>
    </row>
    <row r="76" ht="15.75" customHeight="1">
      <c r="A76" s="36"/>
      <c r="C76" s="35"/>
      <c r="D76" s="2"/>
      <c r="E76" s="39"/>
      <c r="F76" s="2"/>
      <c r="G76" s="2"/>
      <c r="H76" s="2"/>
      <c r="I76" s="2"/>
      <c r="J76" s="2"/>
      <c r="K76" s="2"/>
      <c r="L76" s="2"/>
      <c r="M76" s="2"/>
      <c r="N76" s="2"/>
      <c r="O76" s="35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  <c r="AA76" s="3"/>
      <c r="AB76" s="6"/>
    </row>
    <row r="77" ht="15.75" customHeight="1">
      <c r="A77" s="36"/>
      <c r="C77" s="35"/>
      <c r="D77" s="2"/>
      <c r="E77" s="39"/>
      <c r="F77" s="2"/>
      <c r="G77" s="2"/>
      <c r="H77" s="2"/>
      <c r="I77" s="2"/>
      <c r="J77" s="2"/>
      <c r="K77" s="2"/>
      <c r="L77" s="2"/>
      <c r="M77" s="2"/>
      <c r="N77" s="2"/>
      <c r="O77" s="35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  <c r="AA77" s="3"/>
      <c r="AB77" s="6"/>
    </row>
    <row r="78" ht="15.75" customHeight="1">
      <c r="A78" s="36"/>
      <c r="C78" s="35"/>
      <c r="D78" s="2"/>
      <c r="E78" s="39"/>
      <c r="F78" s="2"/>
      <c r="G78" s="2"/>
      <c r="H78" s="2"/>
      <c r="I78" s="2"/>
      <c r="J78" s="2"/>
      <c r="K78" s="2"/>
      <c r="L78" s="2"/>
      <c r="M78" s="2"/>
      <c r="N78" s="2"/>
      <c r="O78" s="35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  <c r="AA78" s="3"/>
      <c r="AB78" s="6"/>
    </row>
    <row r="79" ht="15.75" customHeight="1">
      <c r="A79" s="36"/>
      <c r="C79" s="35"/>
      <c r="D79" s="2"/>
      <c r="E79" s="39"/>
      <c r="F79" s="2"/>
      <c r="G79" s="2"/>
      <c r="H79" s="2"/>
      <c r="I79" s="2"/>
      <c r="J79" s="2"/>
      <c r="K79" s="2"/>
      <c r="L79" s="2"/>
      <c r="M79" s="2"/>
      <c r="N79" s="2"/>
      <c r="O79" s="35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  <c r="AA79" s="3"/>
      <c r="AB79" s="6"/>
    </row>
    <row r="80" ht="15.75" customHeight="1">
      <c r="A80" s="36"/>
      <c r="C80" s="35"/>
      <c r="D80" s="2"/>
      <c r="E80" s="39"/>
      <c r="F80" s="2"/>
      <c r="G80" s="2"/>
      <c r="H80" s="2"/>
      <c r="I80" s="2"/>
      <c r="J80" s="2"/>
      <c r="K80" s="2"/>
      <c r="L80" s="2"/>
      <c r="M80" s="2"/>
      <c r="N80" s="2"/>
      <c r="O80" s="35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  <c r="AA80" s="3"/>
      <c r="AB80" s="6"/>
    </row>
    <row r="81" ht="15.75" customHeight="1">
      <c r="A81" s="36"/>
      <c r="C81" s="35"/>
      <c r="D81" s="2"/>
      <c r="E81" s="39"/>
      <c r="F81" s="2"/>
      <c r="G81" s="2"/>
      <c r="H81" s="2"/>
      <c r="I81" s="2"/>
      <c r="J81" s="2"/>
      <c r="K81" s="2"/>
      <c r="L81" s="2"/>
      <c r="M81" s="2"/>
      <c r="N81" s="2"/>
      <c r="O81" s="35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  <c r="AA81" s="3"/>
      <c r="AB81" s="6"/>
    </row>
    <row r="82" ht="15.75" customHeight="1">
      <c r="A82" s="36"/>
      <c r="C82" s="35"/>
      <c r="D82" s="2"/>
      <c r="E82" s="39"/>
      <c r="F82" s="2"/>
      <c r="G82" s="2"/>
      <c r="H82" s="2"/>
      <c r="I82" s="2"/>
      <c r="J82" s="2"/>
      <c r="K82" s="2"/>
      <c r="L82" s="2"/>
      <c r="M82" s="2"/>
      <c r="N82" s="2"/>
      <c r="O82" s="35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  <c r="AA82" s="3"/>
      <c r="AB82" s="6"/>
    </row>
    <row r="83" ht="15.75" customHeight="1">
      <c r="A83" s="36"/>
      <c r="C83" s="35"/>
      <c r="D83" s="2"/>
      <c r="E83" s="39"/>
      <c r="F83" s="2"/>
      <c r="G83" s="2"/>
      <c r="H83" s="2"/>
      <c r="I83" s="2"/>
      <c r="J83" s="2"/>
      <c r="K83" s="2"/>
      <c r="L83" s="2"/>
      <c r="M83" s="2"/>
      <c r="N83" s="2"/>
      <c r="O83" s="35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  <c r="AA83" s="3"/>
      <c r="AB83" s="6"/>
    </row>
    <row r="84" ht="15.75" customHeight="1">
      <c r="A84" s="36"/>
      <c r="C84" s="35"/>
      <c r="D84" s="2"/>
      <c r="E84" s="39"/>
      <c r="F84" s="2"/>
      <c r="G84" s="2"/>
      <c r="H84" s="2"/>
      <c r="I84" s="2"/>
      <c r="J84" s="2"/>
      <c r="K84" s="2"/>
      <c r="L84" s="2"/>
      <c r="M84" s="2"/>
      <c r="N84" s="2"/>
      <c r="O84" s="35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  <c r="AA84" s="3"/>
      <c r="AB84" s="6"/>
    </row>
    <row r="85" ht="15.75" customHeight="1">
      <c r="A85" s="36"/>
      <c r="C85" s="35"/>
      <c r="D85" s="2"/>
      <c r="E85" s="39"/>
      <c r="F85" s="2"/>
      <c r="G85" s="2"/>
      <c r="H85" s="2"/>
      <c r="I85" s="2"/>
      <c r="J85" s="2"/>
      <c r="K85" s="2"/>
      <c r="L85" s="2"/>
      <c r="M85" s="2"/>
      <c r="N85" s="2"/>
      <c r="O85" s="35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  <c r="AA85" s="3"/>
      <c r="AB85" s="6"/>
    </row>
    <row r="86" ht="15.75" customHeight="1">
      <c r="A86" s="36"/>
      <c r="C86" s="35"/>
      <c r="D86" s="2"/>
      <c r="E86" s="39"/>
      <c r="F86" s="2"/>
      <c r="G86" s="2"/>
      <c r="H86" s="2"/>
      <c r="I86" s="2"/>
      <c r="J86" s="2"/>
      <c r="K86" s="2"/>
      <c r="L86" s="2"/>
      <c r="M86" s="2"/>
      <c r="N86" s="2"/>
      <c r="O86" s="35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  <c r="AA86" s="3"/>
      <c r="AB86" s="6"/>
    </row>
    <row r="87" ht="15.75" customHeight="1">
      <c r="A87" s="36"/>
      <c r="C87" s="35"/>
      <c r="D87" s="2"/>
      <c r="E87" s="39"/>
      <c r="F87" s="2"/>
      <c r="G87" s="2"/>
      <c r="H87" s="2"/>
      <c r="I87" s="2"/>
      <c r="J87" s="2"/>
      <c r="K87" s="2"/>
      <c r="L87" s="2"/>
      <c r="M87" s="2"/>
      <c r="N87" s="2"/>
      <c r="O87" s="35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  <c r="AA87" s="3"/>
      <c r="AB87" s="6"/>
    </row>
    <row r="88" ht="15.75" customHeight="1">
      <c r="A88" s="36"/>
      <c r="C88" s="35"/>
      <c r="D88" s="2"/>
      <c r="E88" s="39"/>
      <c r="F88" s="2"/>
      <c r="G88" s="2"/>
      <c r="H88" s="2"/>
      <c r="I88" s="2"/>
      <c r="J88" s="2"/>
      <c r="K88" s="2"/>
      <c r="L88" s="2"/>
      <c r="M88" s="2"/>
      <c r="N88" s="2"/>
      <c r="O88" s="35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  <c r="AA88" s="3"/>
      <c r="AB88" s="6"/>
    </row>
    <row r="89" ht="15.75" customHeight="1">
      <c r="A89" s="36"/>
      <c r="C89" s="35"/>
      <c r="D89" s="2"/>
      <c r="E89" s="39"/>
      <c r="F89" s="2"/>
      <c r="G89" s="2"/>
      <c r="H89" s="2"/>
      <c r="I89" s="2"/>
      <c r="J89" s="2"/>
      <c r="K89" s="2"/>
      <c r="L89" s="2"/>
      <c r="M89" s="2"/>
      <c r="N89" s="2"/>
      <c r="O89" s="35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  <c r="AA89" s="3"/>
      <c r="AB89" s="6"/>
    </row>
    <row r="90" ht="15.75" customHeight="1">
      <c r="A90" s="36"/>
      <c r="C90" s="35"/>
      <c r="D90" s="2"/>
      <c r="E90" s="39"/>
      <c r="F90" s="2"/>
      <c r="G90" s="2"/>
      <c r="H90" s="2"/>
      <c r="I90" s="2"/>
      <c r="J90" s="2"/>
      <c r="K90" s="2"/>
      <c r="L90" s="2"/>
      <c r="M90" s="2"/>
      <c r="N90" s="2"/>
      <c r="O90" s="35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  <c r="AA90" s="3"/>
      <c r="AB90" s="6"/>
    </row>
    <row r="91" ht="15.75" customHeight="1">
      <c r="A91" s="36"/>
      <c r="C91" s="35"/>
      <c r="D91" s="2"/>
      <c r="E91" s="39"/>
      <c r="F91" s="2"/>
      <c r="G91" s="2"/>
      <c r="H91" s="2"/>
      <c r="I91" s="2"/>
      <c r="J91" s="2"/>
      <c r="K91" s="2"/>
      <c r="L91" s="2"/>
      <c r="M91" s="2"/>
      <c r="N91" s="2"/>
      <c r="O91" s="35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  <c r="AA91" s="3"/>
      <c r="AB91" s="6"/>
    </row>
    <row r="92" ht="15.75" customHeight="1">
      <c r="A92" s="36"/>
      <c r="C92" s="35"/>
      <c r="D92" s="2"/>
      <c r="E92" s="39"/>
      <c r="F92" s="2"/>
      <c r="G92" s="2"/>
      <c r="H92" s="2"/>
      <c r="I92" s="2"/>
      <c r="J92" s="2"/>
      <c r="K92" s="2"/>
      <c r="L92" s="2"/>
      <c r="M92" s="2"/>
      <c r="N92" s="2"/>
      <c r="O92" s="35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  <c r="AA92" s="3"/>
      <c r="AB92" s="6"/>
    </row>
    <row r="93" ht="15.75" customHeight="1">
      <c r="A93" s="36"/>
      <c r="C93" s="35"/>
      <c r="D93" s="2"/>
      <c r="E93" s="39"/>
      <c r="F93" s="2"/>
      <c r="G93" s="2"/>
      <c r="H93" s="2"/>
      <c r="I93" s="2"/>
      <c r="J93" s="2"/>
      <c r="K93" s="2"/>
      <c r="L93" s="2"/>
      <c r="M93" s="2"/>
      <c r="N93" s="2"/>
      <c r="O93" s="35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  <c r="AA93" s="3"/>
      <c r="AB93" s="6"/>
    </row>
    <row r="94" ht="15.75" customHeight="1">
      <c r="A94" s="36"/>
      <c r="C94" s="35"/>
      <c r="D94" s="2"/>
      <c r="E94" s="39"/>
      <c r="F94" s="2"/>
      <c r="G94" s="2"/>
      <c r="H94" s="2"/>
      <c r="I94" s="2"/>
      <c r="J94" s="2"/>
      <c r="K94" s="2"/>
      <c r="L94" s="2"/>
      <c r="M94" s="2"/>
      <c r="N94" s="2"/>
      <c r="O94" s="35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6"/>
    </row>
    <row r="95" ht="15.75" customHeight="1">
      <c r="A95" s="36"/>
      <c r="C95" s="35"/>
      <c r="D95" s="2"/>
      <c r="E95" s="39"/>
      <c r="F95" s="2"/>
      <c r="G95" s="2"/>
      <c r="H95" s="2"/>
      <c r="I95" s="2"/>
      <c r="J95" s="2"/>
      <c r="K95" s="2"/>
      <c r="L95" s="2"/>
      <c r="M95" s="2"/>
      <c r="N95" s="2"/>
      <c r="O95" s="35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  <c r="AA95" s="3"/>
      <c r="AB95" s="6"/>
    </row>
    <row r="96" ht="15.75" customHeight="1">
      <c r="A96" s="36"/>
      <c r="C96" s="35"/>
      <c r="D96" s="2"/>
      <c r="E96" s="39"/>
      <c r="F96" s="2"/>
      <c r="G96" s="2"/>
      <c r="H96" s="2"/>
      <c r="I96" s="2"/>
      <c r="J96" s="2"/>
      <c r="K96" s="2"/>
      <c r="L96" s="2"/>
      <c r="M96" s="2"/>
      <c r="N96" s="2"/>
      <c r="O96" s="35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  <c r="AA96" s="3"/>
      <c r="AB96" s="6"/>
    </row>
    <row r="97" ht="15.75" customHeight="1">
      <c r="A97" s="36"/>
      <c r="C97" s="35"/>
      <c r="D97" s="2"/>
      <c r="E97" s="39"/>
      <c r="F97" s="2"/>
      <c r="G97" s="2"/>
      <c r="H97" s="2"/>
      <c r="I97" s="2"/>
      <c r="J97" s="2"/>
      <c r="K97" s="2"/>
      <c r="L97" s="2"/>
      <c r="M97" s="2"/>
      <c r="N97" s="2"/>
      <c r="O97" s="35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  <c r="AA97" s="3"/>
      <c r="AB97" s="6"/>
    </row>
    <row r="98" ht="15.75" customHeight="1">
      <c r="A98" s="36"/>
      <c r="C98" s="35"/>
      <c r="D98" s="2"/>
      <c r="E98" s="39"/>
      <c r="F98" s="2"/>
      <c r="G98" s="2"/>
      <c r="H98" s="2"/>
      <c r="I98" s="2"/>
      <c r="J98" s="2"/>
      <c r="K98" s="2"/>
      <c r="L98" s="2"/>
      <c r="M98" s="2"/>
      <c r="N98" s="2"/>
      <c r="O98" s="35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  <c r="AA98" s="3"/>
      <c r="AB98" s="6"/>
    </row>
    <row r="99" ht="15.75" customHeight="1">
      <c r="A99" s="36"/>
      <c r="C99" s="35"/>
      <c r="D99" s="2"/>
      <c r="E99" s="39"/>
      <c r="F99" s="2"/>
      <c r="G99" s="2"/>
      <c r="H99" s="2"/>
      <c r="I99" s="2"/>
      <c r="J99" s="2"/>
      <c r="K99" s="2"/>
      <c r="L99" s="2"/>
      <c r="M99" s="2"/>
      <c r="N99" s="2"/>
      <c r="O99" s="35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  <c r="AA99" s="3"/>
      <c r="AB99" s="6"/>
    </row>
    <row r="100" ht="15.75" customHeight="1">
      <c r="A100" s="36"/>
      <c r="C100" s="35"/>
      <c r="D100" s="2"/>
      <c r="E100" s="39"/>
      <c r="F100" s="2"/>
      <c r="G100" s="2"/>
      <c r="H100" s="2"/>
      <c r="I100" s="2"/>
      <c r="J100" s="2"/>
      <c r="K100" s="2"/>
      <c r="L100" s="2"/>
      <c r="M100" s="2"/>
      <c r="N100" s="2"/>
      <c r="O100" s="35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  <c r="AA100" s="3"/>
      <c r="AB100" s="6"/>
    </row>
    <row r="101" ht="15.75" customHeight="1">
      <c r="A101" s="36"/>
      <c r="C101" s="35"/>
      <c r="D101" s="2"/>
      <c r="E101" s="39"/>
      <c r="F101" s="2"/>
      <c r="G101" s="2"/>
      <c r="H101" s="2"/>
      <c r="I101" s="2"/>
      <c r="J101" s="2"/>
      <c r="K101" s="2"/>
      <c r="L101" s="2"/>
      <c r="M101" s="2"/>
      <c r="N101" s="2"/>
      <c r="O101" s="35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  <c r="AA101" s="3"/>
      <c r="AB101" s="6"/>
    </row>
    <row r="102" ht="15.75" customHeight="1">
      <c r="A102" s="36"/>
      <c r="C102" s="35"/>
      <c r="D102" s="2"/>
      <c r="E102" s="39"/>
      <c r="F102" s="2"/>
      <c r="G102" s="2"/>
      <c r="H102" s="2"/>
      <c r="I102" s="2"/>
      <c r="J102" s="2"/>
      <c r="K102" s="2"/>
      <c r="L102" s="2"/>
      <c r="M102" s="2"/>
      <c r="N102" s="2"/>
      <c r="O102" s="35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  <c r="AA102" s="3"/>
      <c r="AB102" s="6"/>
    </row>
    <row r="103" ht="15.75" customHeight="1">
      <c r="A103" s="36"/>
      <c r="C103" s="35"/>
      <c r="D103" s="2"/>
      <c r="E103" s="39"/>
      <c r="F103" s="2"/>
      <c r="G103" s="2"/>
      <c r="H103" s="2"/>
      <c r="I103" s="2"/>
      <c r="J103" s="2"/>
      <c r="K103" s="2"/>
      <c r="L103" s="2"/>
      <c r="M103" s="2"/>
      <c r="N103" s="2"/>
      <c r="O103" s="35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  <c r="AA103" s="3"/>
      <c r="AB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2"/>
      <c r="J104" s="2"/>
      <c r="K104" s="2"/>
      <c r="L104" s="2"/>
      <c r="M104" s="2"/>
      <c r="N104" s="2"/>
      <c r="O104" s="35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  <c r="AA104" s="3"/>
      <c r="AB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2"/>
      <c r="J105" s="2"/>
      <c r="K105" s="2"/>
      <c r="L105" s="2"/>
      <c r="M105" s="2"/>
      <c r="N105" s="2"/>
      <c r="O105" s="35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  <c r="AA105" s="3"/>
      <c r="AB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2"/>
      <c r="J106" s="2"/>
      <c r="K106" s="2"/>
      <c r="L106" s="2"/>
      <c r="M106" s="2"/>
      <c r="N106" s="2"/>
      <c r="O106" s="35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  <c r="AA106" s="3"/>
      <c r="AB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2"/>
      <c r="J107" s="2"/>
      <c r="K107" s="2"/>
      <c r="L107" s="2"/>
      <c r="M107" s="2"/>
      <c r="N107" s="2"/>
      <c r="O107" s="35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  <c r="AA107" s="3"/>
      <c r="AB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2"/>
      <c r="J108" s="2"/>
      <c r="K108" s="2"/>
      <c r="L108" s="2"/>
      <c r="M108" s="2"/>
      <c r="N108" s="2"/>
      <c r="O108" s="35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  <c r="AA108" s="3"/>
      <c r="AB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2"/>
      <c r="J109" s="2"/>
      <c r="K109" s="2"/>
      <c r="L109" s="2"/>
      <c r="M109" s="2"/>
      <c r="N109" s="2"/>
      <c r="O109" s="35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  <c r="AA109" s="3"/>
      <c r="AB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2"/>
      <c r="J110" s="2"/>
      <c r="K110" s="2"/>
      <c r="L110" s="2"/>
      <c r="M110" s="2"/>
      <c r="N110" s="2"/>
      <c r="O110" s="35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  <c r="AA110" s="3"/>
      <c r="AB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2"/>
      <c r="J111" s="2"/>
      <c r="K111" s="2"/>
      <c r="L111" s="2"/>
      <c r="M111" s="2"/>
      <c r="N111" s="2"/>
      <c r="O111" s="35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  <c r="AA111" s="3"/>
      <c r="AB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2"/>
      <c r="J112" s="2"/>
      <c r="K112" s="2"/>
      <c r="L112" s="2"/>
      <c r="M112" s="2"/>
      <c r="N112" s="2"/>
      <c r="O112" s="35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  <c r="AA112" s="3"/>
      <c r="AB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2"/>
      <c r="J113" s="2"/>
      <c r="K113" s="2"/>
      <c r="L113" s="2"/>
      <c r="M113" s="2"/>
      <c r="N113" s="2"/>
      <c r="O113" s="35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  <c r="AA113" s="3"/>
      <c r="AB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2"/>
      <c r="J114" s="2"/>
      <c r="K114" s="2"/>
      <c r="L114" s="2"/>
      <c r="M114" s="2"/>
      <c r="N114" s="2"/>
      <c r="O114" s="35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  <c r="AA114" s="3"/>
      <c r="AB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2"/>
      <c r="J115" s="2"/>
      <c r="K115" s="2"/>
      <c r="L115" s="2"/>
      <c r="M115" s="2"/>
      <c r="N115" s="2"/>
      <c r="O115" s="35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  <c r="AA115" s="3"/>
      <c r="AB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2"/>
      <c r="J116" s="2"/>
      <c r="K116" s="2"/>
      <c r="L116" s="2"/>
      <c r="M116" s="2"/>
      <c r="N116" s="2"/>
      <c r="O116" s="35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  <c r="AA116" s="3"/>
      <c r="AB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2"/>
      <c r="J117" s="2"/>
      <c r="K117" s="2"/>
      <c r="L117" s="2"/>
      <c r="M117" s="2"/>
      <c r="N117" s="2"/>
      <c r="O117" s="35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  <c r="AA117" s="3"/>
      <c r="AB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2"/>
      <c r="J118" s="2"/>
      <c r="K118" s="2"/>
      <c r="L118" s="2"/>
      <c r="M118" s="2"/>
      <c r="N118" s="2"/>
      <c r="O118" s="35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  <c r="AA118" s="3"/>
      <c r="AB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2"/>
      <c r="J119" s="2"/>
      <c r="K119" s="2"/>
      <c r="L119" s="2"/>
      <c r="M119" s="2"/>
      <c r="N119" s="2"/>
      <c r="O119" s="35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  <c r="AA119" s="3"/>
      <c r="AB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2"/>
      <c r="J120" s="2"/>
      <c r="K120" s="2"/>
      <c r="L120" s="2"/>
      <c r="M120" s="2"/>
      <c r="N120" s="2"/>
      <c r="O120" s="35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  <c r="AA120" s="3"/>
      <c r="AB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2"/>
      <c r="J121" s="2"/>
      <c r="K121" s="2"/>
      <c r="L121" s="2"/>
      <c r="M121" s="2"/>
      <c r="N121" s="2"/>
      <c r="O121" s="35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  <c r="AA121" s="3"/>
      <c r="AB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2"/>
      <c r="J122" s="2"/>
      <c r="K122" s="2"/>
      <c r="L122" s="2"/>
      <c r="M122" s="2"/>
      <c r="N122" s="2"/>
      <c r="O122" s="35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  <c r="AA122" s="3"/>
      <c r="AB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2"/>
      <c r="J123" s="2"/>
      <c r="K123" s="2"/>
      <c r="L123" s="2"/>
      <c r="M123" s="2"/>
      <c r="N123" s="2"/>
      <c r="O123" s="35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  <c r="AA123" s="3"/>
      <c r="AB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2"/>
      <c r="J124" s="2"/>
      <c r="K124" s="2"/>
      <c r="L124" s="2"/>
      <c r="M124" s="2"/>
      <c r="N124" s="2"/>
      <c r="O124" s="35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  <c r="AA124" s="3"/>
      <c r="AB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2"/>
      <c r="J125" s="2"/>
      <c r="K125" s="2"/>
      <c r="L125" s="2"/>
      <c r="M125" s="2"/>
      <c r="N125" s="2"/>
      <c r="O125" s="35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  <c r="AA125" s="3"/>
      <c r="AB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2"/>
      <c r="J126" s="2"/>
      <c r="K126" s="2"/>
      <c r="L126" s="2"/>
      <c r="M126" s="2"/>
      <c r="N126" s="2"/>
      <c r="O126" s="35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  <c r="AA126" s="3"/>
      <c r="AB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2"/>
      <c r="J127" s="2"/>
      <c r="K127" s="2"/>
      <c r="L127" s="2"/>
      <c r="M127" s="2"/>
      <c r="N127" s="2"/>
      <c r="O127" s="35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  <c r="AA127" s="3"/>
      <c r="AB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2"/>
      <c r="J128" s="2"/>
      <c r="K128" s="2"/>
      <c r="L128" s="2"/>
      <c r="M128" s="2"/>
      <c r="N128" s="2"/>
      <c r="O128" s="35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  <c r="AA128" s="3"/>
      <c r="AB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2"/>
      <c r="J129" s="2"/>
      <c r="K129" s="2"/>
      <c r="L129" s="2"/>
      <c r="M129" s="2"/>
      <c r="N129" s="2"/>
      <c r="O129" s="35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  <c r="AA129" s="3"/>
      <c r="AB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2"/>
      <c r="J130" s="2"/>
      <c r="K130" s="2"/>
      <c r="L130" s="2"/>
      <c r="M130" s="2"/>
      <c r="N130" s="2"/>
      <c r="O130" s="35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  <c r="AA130" s="3"/>
      <c r="AB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2"/>
      <c r="J131" s="2"/>
      <c r="K131" s="2"/>
      <c r="L131" s="2"/>
      <c r="M131" s="2"/>
      <c r="N131" s="2"/>
      <c r="O131" s="35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  <c r="AA131" s="3"/>
      <c r="AB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2"/>
      <c r="J132" s="2"/>
      <c r="K132" s="2"/>
      <c r="L132" s="2"/>
      <c r="M132" s="2"/>
      <c r="N132" s="2"/>
      <c r="O132" s="35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  <c r="AA132" s="3"/>
      <c r="AB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2"/>
      <c r="J133" s="2"/>
      <c r="K133" s="2"/>
      <c r="L133" s="2"/>
      <c r="M133" s="2"/>
      <c r="N133" s="2"/>
      <c r="O133" s="35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  <c r="AA133" s="3"/>
      <c r="AB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2"/>
      <c r="J134" s="2"/>
      <c r="K134" s="2"/>
      <c r="L134" s="2"/>
      <c r="M134" s="2"/>
      <c r="N134" s="2"/>
      <c r="O134" s="35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  <c r="AA134" s="3"/>
      <c r="AB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2"/>
      <c r="J135" s="2"/>
      <c r="K135" s="2"/>
      <c r="L135" s="2"/>
      <c r="M135" s="2"/>
      <c r="N135" s="2"/>
      <c r="O135" s="35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  <c r="AA135" s="3"/>
      <c r="AB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2"/>
      <c r="J136" s="2"/>
      <c r="K136" s="2"/>
      <c r="L136" s="2"/>
      <c r="M136" s="2"/>
      <c r="N136" s="2"/>
      <c r="O136" s="35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  <c r="AA136" s="3"/>
      <c r="AB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2"/>
      <c r="J137" s="2"/>
      <c r="K137" s="2"/>
      <c r="L137" s="2"/>
      <c r="M137" s="2"/>
      <c r="N137" s="2"/>
      <c r="O137" s="35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  <c r="AA137" s="3"/>
      <c r="AB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2"/>
      <c r="J138" s="2"/>
      <c r="K138" s="2"/>
      <c r="L138" s="2"/>
      <c r="M138" s="2"/>
      <c r="N138" s="2"/>
      <c r="O138" s="35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  <c r="AA138" s="3"/>
      <c r="AB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2"/>
      <c r="J139" s="2"/>
      <c r="K139" s="2"/>
      <c r="L139" s="2"/>
      <c r="M139" s="2"/>
      <c r="N139" s="2"/>
      <c r="O139" s="35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  <c r="AA139" s="3"/>
      <c r="AB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2"/>
      <c r="J140" s="2"/>
      <c r="K140" s="2"/>
      <c r="L140" s="2"/>
      <c r="M140" s="2"/>
      <c r="N140" s="2"/>
      <c r="O140" s="35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  <c r="AA140" s="3"/>
      <c r="AB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2"/>
      <c r="J141" s="2"/>
      <c r="K141" s="2"/>
      <c r="L141" s="2"/>
      <c r="M141" s="2"/>
      <c r="N141" s="2"/>
      <c r="O141" s="35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  <c r="AA141" s="3"/>
      <c r="AB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2"/>
      <c r="J142" s="2"/>
      <c r="K142" s="2"/>
      <c r="L142" s="2"/>
      <c r="M142" s="2"/>
      <c r="N142" s="2"/>
      <c r="O142" s="35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  <c r="AA142" s="3"/>
      <c r="AB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2"/>
      <c r="J143" s="2"/>
      <c r="K143" s="2"/>
      <c r="L143" s="2"/>
      <c r="M143" s="2"/>
      <c r="N143" s="2"/>
      <c r="O143" s="35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  <c r="AA143" s="3"/>
      <c r="AB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2"/>
      <c r="J144" s="2"/>
      <c r="K144" s="2"/>
      <c r="L144" s="2"/>
      <c r="M144" s="2"/>
      <c r="N144" s="2"/>
      <c r="O144" s="35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  <c r="AA144" s="3"/>
      <c r="AB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2"/>
      <c r="J145" s="2"/>
      <c r="K145" s="2"/>
      <c r="L145" s="2"/>
      <c r="M145" s="2"/>
      <c r="N145" s="2"/>
      <c r="O145" s="35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  <c r="AA145" s="3"/>
      <c r="AB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2"/>
      <c r="J146" s="2"/>
      <c r="K146" s="2"/>
      <c r="L146" s="2"/>
      <c r="M146" s="2"/>
      <c r="N146" s="2"/>
      <c r="O146" s="35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  <c r="AA146" s="3"/>
      <c r="AB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2"/>
      <c r="J147" s="2"/>
      <c r="K147" s="2"/>
      <c r="L147" s="2"/>
      <c r="M147" s="2"/>
      <c r="N147" s="2"/>
      <c r="O147" s="35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  <c r="AA147" s="3"/>
      <c r="AB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2"/>
      <c r="J148" s="2"/>
      <c r="K148" s="2"/>
      <c r="L148" s="2"/>
      <c r="M148" s="2"/>
      <c r="N148" s="2"/>
      <c r="O148" s="35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  <c r="AA148" s="3"/>
      <c r="AB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2"/>
      <c r="J149" s="2"/>
      <c r="K149" s="2"/>
      <c r="L149" s="2"/>
      <c r="M149" s="2"/>
      <c r="N149" s="2"/>
      <c r="O149" s="35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  <c r="AA149" s="3"/>
      <c r="AB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2"/>
      <c r="J150" s="2"/>
      <c r="K150" s="2"/>
      <c r="L150" s="2"/>
      <c r="M150" s="2"/>
      <c r="N150" s="2"/>
      <c r="O150" s="35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  <c r="AA150" s="3"/>
      <c r="AB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2"/>
      <c r="J151" s="2"/>
      <c r="K151" s="2"/>
      <c r="L151" s="2"/>
      <c r="M151" s="2"/>
      <c r="N151" s="2"/>
      <c r="O151" s="35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  <c r="AA151" s="3"/>
      <c r="AB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2"/>
      <c r="J152" s="2"/>
      <c r="K152" s="2"/>
      <c r="L152" s="2"/>
      <c r="M152" s="2"/>
      <c r="N152" s="2"/>
      <c r="O152" s="35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  <c r="AA152" s="3"/>
      <c r="AB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2"/>
      <c r="J153" s="2"/>
      <c r="K153" s="2"/>
      <c r="L153" s="2"/>
      <c r="M153" s="2"/>
      <c r="N153" s="2"/>
      <c r="O153" s="35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  <c r="AA153" s="3"/>
      <c r="AB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2"/>
      <c r="J154" s="2"/>
      <c r="K154" s="2"/>
      <c r="L154" s="2"/>
      <c r="M154" s="2"/>
      <c r="N154" s="2"/>
      <c r="O154" s="35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  <c r="AA154" s="3"/>
      <c r="AB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2"/>
      <c r="J155" s="2"/>
      <c r="K155" s="2"/>
      <c r="L155" s="2"/>
      <c r="M155" s="2"/>
      <c r="N155" s="2"/>
      <c r="O155" s="35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  <c r="AA155" s="3"/>
      <c r="AB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2"/>
      <c r="J156" s="2"/>
      <c r="K156" s="2"/>
      <c r="L156" s="2"/>
      <c r="M156" s="2"/>
      <c r="N156" s="2"/>
      <c r="O156" s="35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  <c r="AA156" s="3"/>
      <c r="AB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2"/>
      <c r="J157" s="2"/>
      <c r="K157" s="2"/>
      <c r="L157" s="2"/>
      <c r="M157" s="2"/>
      <c r="N157" s="2"/>
      <c r="O157" s="35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  <c r="AA157" s="3"/>
      <c r="AB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2"/>
      <c r="J158" s="2"/>
      <c r="K158" s="2"/>
      <c r="L158" s="2"/>
      <c r="M158" s="2"/>
      <c r="N158" s="2"/>
      <c r="O158" s="35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  <c r="AA158" s="3"/>
      <c r="AB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2"/>
      <c r="J159" s="2"/>
      <c r="K159" s="2"/>
      <c r="L159" s="2"/>
      <c r="M159" s="2"/>
      <c r="N159" s="2"/>
      <c r="O159" s="35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  <c r="AA159" s="3"/>
      <c r="AB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2"/>
      <c r="J160" s="2"/>
      <c r="K160" s="2"/>
      <c r="L160" s="2"/>
      <c r="M160" s="2"/>
      <c r="N160" s="2"/>
      <c r="O160" s="35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  <c r="AA160" s="3"/>
      <c r="AB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2"/>
      <c r="J161" s="2"/>
      <c r="K161" s="2"/>
      <c r="L161" s="2"/>
      <c r="M161" s="2"/>
      <c r="N161" s="2"/>
      <c r="O161" s="35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  <c r="AA161" s="3"/>
      <c r="AB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2"/>
      <c r="J162" s="2"/>
      <c r="K162" s="2"/>
      <c r="L162" s="2"/>
      <c r="M162" s="2"/>
      <c r="N162" s="2"/>
      <c r="O162" s="35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  <c r="AA162" s="3"/>
      <c r="AB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2"/>
      <c r="J163" s="2"/>
      <c r="K163" s="2"/>
      <c r="L163" s="2"/>
      <c r="M163" s="2"/>
      <c r="N163" s="2"/>
      <c r="O163" s="35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  <c r="AA163" s="3"/>
      <c r="AB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2"/>
      <c r="J164" s="2"/>
      <c r="K164" s="2"/>
      <c r="L164" s="2"/>
      <c r="M164" s="2"/>
      <c r="N164" s="2"/>
      <c r="O164" s="35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  <c r="AA164" s="3"/>
      <c r="AB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2"/>
      <c r="J165" s="2"/>
      <c r="K165" s="2"/>
      <c r="L165" s="2"/>
      <c r="M165" s="2"/>
      <c r="N165" s="2"/>
      <c r="O165" s="35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  <c r="AA165" s="3"/>
      <c r="AB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2"/>
      <c r="J166" s="2"/>
      <c r="K166" s="2"/>
      <c r="L166" s="2"/>
      <c r="M166" s="2"/>
      <c r="N166" s="2"/>
      <c r="O166" s="35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  <c r="AA166" s="3"/>
      <c r="AB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2"/>
      <c r="J167" s="2"/>
      <c r="K167" s="2"/>
      <c r="L167" s="2"/>
      <c r="M167" s="2"/>
      <c r="N167" s="2"/>
      <c r="O167" s="35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  <c r="AA167" s="3"/>
      <c r="AB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2"/>
      <c r="J168" s="2"/>
      <c r="K168" s="2"/>
      <c r="L168" s="2"/>
      <c r="M168" s="2"/>
      <c r="N168" s="2"/>
      <c r="O168" s="35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  <c r="AA168" s="3"/>
      <c r="AB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2"/>
      <c r="J169" s="2"/>
      <c r="K169" s="2"/>
      <c r="L169" s="2"/>
      <c r="M169" s="2"/>
      <c r="N169" s="2"/>
      <c r="O169" s="35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  <c r="AA169" s="3"/>
      <c r="AB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2"/>
      <c r="J170" s="2"/>
      <c r="K170" s="2"/>
      <c r="L170" s="2"/>
      <c r="M170" s="2"/>
      <c r="N170" s="2"/>
      <c r="O170" s="35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  <c r="AA170" s="3"/>
      <c r="AB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2"/>
      <c r="J171" s="2"/>
      <c r="K171" s="2"/>
      <c r="L171" s="2"/>
      <c r="M171" s="2"/>
      <c r="N171" s="2"/>
      <c r="O171" s="35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  <c r="AA171" s="3"/>
      <c r="AB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2"/>
      <c r="J172" s="2"/>
      <c r="K172" s="2"/>
      <c r="L172" s="2"/>
      <c r="M172" s="2"/>
      <c r="N172" s="2"/>
      <c r="O172" s="35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  <c r="AA172" s="3"/>
      <c r="AB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2"/>
      <c r="J173" s="2"/>
      <c r="K173" s="2"/>
      <c r="L173" s="2"/>
      <c r="M173" s="2"/>
      <c r="N173" s="2"/>
      <c r="O173" s="35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  <c r="AA173" s="3"/>
      <c r="AB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2"/>
      <c r="J174" s="2"/>
      <c r="K174" s="2"/>
      <c r="L174" s="2"/>
      <c r="M174" s="2"/>
      <c r="N174" s="2"/>
      <c r="O174" s="35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  <c r="AA174" s="3"/>
      <c r="AB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2"/>
      <c r="J175" s="2"/>
      <c r="K175" s="2"/>
      <c r="L175" s="2"/>
      <c r="M175" s="2"/>
      <c r="N175" s="2"/>
      <c r="O175" s="35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  <c r="AA175" s="3"/>
      <c r="AB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2"/>
      <c r="J176" s="2"/>
      <c r="K176" s="2"/>
      <c r="L176" s="2"/>
      <c r="M176" s="2"/>
      <c r="N176" s="2"/>
      <c r="O176" s="35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  <c r="AA176" s="3"/>
      <c r="AB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2"/>
      <c r="J177" s="2"/>
      <c r="K177" s="2"/>
      <c r="L177" s="2"/>
      <c r="M177" s="2"/>
      <c r="N177" s="2"/>
      <c r="O177" s="35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  <c r="AA177" s="3"/>
      <c r="AB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2"/>
      <c r="J178" s="2"/>
      <c r="K178" s="2"/>
      <c r="L178" s="2"/>
      <c r="M178" s="2"/>
      <c r="N178" s="2"/>
      <c r="O178" s="35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  <c r="AA178" s="3"/>
      <c r="AB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2"/>
      <c r="J179" s="2"/>
      <c r="K179" s="2"/>
      <c r="L179" s="2"/>
      <c r="M179" s="2"/>
      <c r="N179" s="2"/>
      <c r="O179" s="35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2"/>
      <c r="J180" s="2"/>
      <c r="K180" s="2"/>
      <c r="L180" s="2"/>
      <c r="M180" s="2"/>
      <c r="N180" s="2"/>
      <c r="O180" s="35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  <c r="AA180" s="3"/>
      <c r="AB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2"/>
      <c r="J181" s="2"/>
      <c r="K181" s="2"/>
      <c r="L181" s="2"/>
      <c r="M181" s="2"/>
      <c r="N181" s="2"/>
      <c r="O181" s="35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  <c r="AA181" s="3"/>
      <c r="AB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2"/>
      <c r="J182" s="2"/>
      <c r="K182" s="2"/>
      <c r="L182" s="2"/>
      <c r="M182" s="2"/>
      <c r="N182" s="2"/>
      <c r="O182" s="35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  <c r="AA182" s="3"/>
      <c r="AB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2"/>
      <c r="J183" s="2"/>
      <c r="K183" s="2"/>
      <c r="L183" s="2"/>
      <c r="M183" s="2"/>
      <c r="N183" s="2"/>
      <c r="O183" s="35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  <c r="AA183" s="3"/>
      <c r="AB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2"/>
      <c r="J184" s="2"/>
      <c r="K184" s="2"/>
      <c r="L184" s="2"/>
      <c r="M184" s="2"/>
      <c r="N184" s="2"/>
      <c r="O184" s="35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  <c r="AA184" s="3"/>
      <c r="AB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2"/>
      <c r="J185" s="2"/>
      <c r="K185" s="2"/>
      <c r="L185" s="2"/>
      <c r="M185" s="2"/>
      <c r="N185" s="2"/>
      <c r="O185" s="35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  <c r="AA185" s="3"/>
      <c r="AB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2"/>
      <c r="J186" s="2"/>
      <c r="K186" s="2"/>
      <c r="L186" s="2"/>
      <c r="M186" s="2"/>
      <c r="N186" s="2"/>
      <c r="O186" s="35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  <c r="AA186" s="3"/>
      <c r="AB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2"/>
      <c r="J187" s="2"/>
      <c r="K187" s="2"/>
      <c r="L187" s="2"/>
      <c r="M187" s="2"/>
      <c r="N187" s="2"/>
      <c r="O187" s="35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  <c r="AA187" s="3"/>
      <c r="AB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2"/>
      <c r="J188" s="2"/>
      <c r="K188" s="2"/>
      <c r="L188" s="2"/>
      <c r="M188" s="2"/>
      <c r="N188" s="2"/>
      <c r="O188" s="35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  <c r="AA188" s="3"/>
      <c r="AB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2"/>
      <c r="J189" s="2"/>
      <c r="K189" s="2"/>
      <c r="L189" s="2"/>
      <c r="M189" s="2"/>
      <c r="N189" s="2"/>
      <c r="O189" s="35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  <c r="AA189" s="3"/>
      <c r="AB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2"/>
      <c r="J190" s="2"/>
      <c r="K190" s="2"/>
      <c r="L190" s="2"/>
      <c r="M190" s="2"/>
      <c r="N190" s="2"/>
      <c r="O190" s="35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  <c r="AA190" s="3"/>
      <c r="AB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2"/>
      <c r="J191" s="2"/>
      <c r="K191" s="2"/>
      <c r="L191" s="2"/>
      <c r="M191" s="2"/>
      <c r="N191" s="2"/>
      <c r="O191" s="35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  <c r="AA191" s="3"/>
      <c r="AB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2"/>
      <c r="J192" s="2"/>
      <c r="K192" s="2"/>
      <c r="L192" s="2"/>
      <c r="M192" s="2"/>
      <c r="N192" s="2"/>
      <c r="O192" s="35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  <c r="AA192" s="3"/>
      <c r="AB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2"/>
      <c r="J193" s="2"/>
      <c r="K193" s="2"/>
      <c r="L193" s="2"/>
      <c r="M193" s="2"/>
      <c r="N193" s="2"/>
      <c r="O193" s="35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  <c r="AA193" s="3"/>
      <c r="AB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2"/>
      <c r="J194" s="2"/>
      <c r="K194" s="2"/>
      <c r="L194" s="2"/>
      <c r="M194" s="2"/>
      <c r="N194" s="2"/>
      <c r="O194" s="35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  <c r="AA194" s="3"/>
      <c r="AB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2"/>
      <c r="J195" s="2"/>
      <c r="K195" s="2"/>
      <c r="L195" s="2"/>
      <c r="M195" s="2"/>
      <c r="N195" s="2"/>
      <c r="O195" s="35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  <c r="AA195" s="3"/>
      <c r="AB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2"/>
      <c r="J196" s="2"/>
      <c r="K196" s="2"/>
      <c r="L196" s="2"/>
      <c r="M196" s="2"/>
      <c r="N196" s="2"/>
      <c r="O196" s="35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  <c r="AA196" s="3"/>
      <c r="AB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2"/>
      <c r="J197" s="2"/>
      <c r="K197" s="2"/>
      <c r="L197" s="2"/>
      <c r="M197" s="2"/>
      <c r="N197" s="2"/>
      <c r="O197" s="35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  <c r="AA197" s="3"/>
      <c r="AB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2"/>
      <c r="J198" s="2"/>
      <c r="K198" s="2"/>
      <c r="L198" s="2"/>
      <c r="M198" s="2"/>
      <c r="N198" s="2"/>
      <c r="O198" s="35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  <c r="AA198" s="3"/>
      <c r="AB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2"/>
      <c r="J199" s="2"/>
      <c r="K199" s="2"/>
      <c r="L199" s="2"/>
      <c r="M199" s="2"/>
      <c r="N199" s="2"/>
      <c r="O199" s="35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  <c r="AA199" s="3"/>
      <c r="AB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2"/>
      <c r="J200" s="2"/>
      <c r="K200" s="2"/>
      <c r="L200" s="2"/>
      <c r="M200" s="2"/>
      <c r="N200" s="2"/>
      <c r="O200" s="35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  <c r="AA200" s="3"/>
      <c r="AB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2"/>
      <c r="J201" s="2"/>
      <c r="K201" s="2"/>
      <c r="L201" s="2"/>
      <c r="M201" s="2"/>
      <c r="N201" s="2"/>
      <c r="O201" s="35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  <c r="AA201" s="3"/>
      <c r="AB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2"/>
      <c r="J202" s="2"/>
      <c r="K202" s="2"/>
      <c r="L202" s="2"/>
      <c r="M202" s="2"/>
      <c r="N202" s="2"/>
      <c r="O202" s="35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  <c r="AA202" s="3"/>
      <c r="AB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2"/>
      <c r="J203" s="2"/>
      <c r="K203" s="2"/>
      <c r="L203" s="2"/>
      <c r="M203" s="2"/>
      <c r="N203" s="2"/>
      <c r="O203" s="35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  <c r="AA203" s="3"/>
      <c r="AB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2"/>
      <c r="J204" s="2"/>
      <c r="K204" s="2"/>
      <c r="L204" s="2"/>
      <c r="M204" s="2"/>
      <c r="N204" s="2"/>
      <c r="O204" s="35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  <c r="AA204" s="3"/>
      <c r="AB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2"/>
      <c r="J205" s="2"/>
      <c r="K205" s="2"/>
      <c r="L205" s="2"/>
      <c r="M205" s="2"/>
      <c r="N205" s="2"/>
      <c r="O205" s="35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  <c r="AA205" s="3"/>
      <c r="AB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2"/>
      <c r="J206" s="2"/>
      <c r="K206" s="2"/>
      <c r="L206" s="2"/>
      <c r="M206" s="2"/>
      <c r="N206" s="2"/>
      <c r="O206" s="35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  <c r="AA206" s="3"/>
      <c r="AB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2"/>
      <c r="J207" s="2"/>
      <c r="K207" s="2"/>
      <c r="L207" s="2"/>
      <c r="M207" s="2"/>
      <c r="N207" s="2"/>
      <c r="O207" s="35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  <c r="AA207" s="3"/>
      <c r="AB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2"/>
      <c r="J208" s="2"/>
      <c r="K208" s="2"/>
      <c r="L208" s="2"/>
      <c r="M208" s="2"/>
      <c r="N208" s="2"/>
      <c r="O208" s="35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  <c r="AA208" s="3"/>
      <c r="AB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2"/>
      <c r="J209" s="2"/>
      <c r="K209" s="2"/>
      <c r="L209" s="2"/>
      <c r="M209" s="2"/>
      <c r="N209" s="2"/>
      <c r="O209" s="35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  <c r="AA209" s="3"/>
      <c r="AB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2"/>
      <c r="J210" s="2"/>
      <c r="K210" s="2"/>
      <c r="L210" s="2"/>
      <c r="M210" s="2"/>
      <c r="N210" s="2"/>
      <c r="O210" s="35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  <c r="AA210" s="3"/>
      <c r="AB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2"/>
      <c r="J211" s="2"/>
      <c r="K211" s="2"/>
      <c r="L211" s="2"/>
      <c r="M211" s="2"/>
      <c r="N211" s="2"/>
      <c r="O211" s="35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  <c r="AA211" s="3"/>
      <c r="AB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2"/>
      <c r="J212" s="2"/>
      <c r="K212" s="2"/>
      <c r="L212" s="2"/>
      <c r="M212" s="2"/>
      <c r="N212" s="2"/>
      <c r="O212" s="35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  <c r="AA212" s="3"/>
      <c r="AB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2"/>
      <c r="J213" s="2"/>
      <c r="K213" s="2"/>
      <c r="L213" s="2"/>
      <c r="M213" s="2"/>
      <c r="N213" s="2"/>
      <c r="O213" s="35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  <c r="AA213" s="3"/>
      <c r="AB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2"/>
      <c r="J214" s="2"/>
      <c r="K214" s="2"/>
      <c r="L214" s="2"/>
      <c r="M214" s="2"/>
      <c r="N214" s="2"/>
      <c r="O214" s="35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  <c r="AA214" s="3"/>
      <c r="AB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2"/>
      <c r="J215" s="2"/>
      <c r="K215" s="2"/>
      <c r="L215" s="2"/>
      <c r="M215" s="2"/>
      <c r="N215" s="2"/>
      <c r="O215" s="35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  <c r="AA215" s="3"/>
      <c r="AB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2"/>
      <c r="J216" s="2"/>
      <c r="K216" s="2"/>
      <c r="L216" s="2"/>
      <c r="M216" s="2"/>
      <c r="N216" s="2"/>
      <c r="O216" s="35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  <c r="AA216" s="3"/>
      <c r="AB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2"/>
      <c r="J217" s="2"/>
      <c r="K217" s="2"/>
      <c r="L217" s="2"/>
      <c r="M217" s="2"/>
      <c r="N217" s="2"/>
      <c r="O217" s="35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  <c r="AA217" s="3"/>
      <c r="AB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2"/>
      <c r="J218" s="2"/>
      <c r="K218" s="2"/>
      <c r="L218" s="2"/>
      <c r="M218" s="2"/>
      <c r="N218" s="2"/>
      <c r="O218" s="35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  <c r="AA218" s="3"/>
      <c r="AB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2"/>
      <c r="J219" s="2"/>
      <c r="K219" s="2"/>
      <c r="L219" s="2"/>
      <c r="M219" s="2"/>
      <c r="N219" s="2"/>
      <c r="O219" s="35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  <c r="AA219" s="3"/>
      <c r="AB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2"/>
      <c r="J220" s="2"/>
      <c r="K220" s="2"/>
      <c r="L220" s="2"/>
      <c r="M220" s="2"/>
      <c r="N220" s="2"/>
      <c r="O220" s="35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  <c r="AA220" s="3"/>
      <c r="AB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2"/>
      <c r="J221" s="2"/>
      <c r="K221" s="2"/>
      <c r="L221" s="2"/>
      <c r="M221" s="2"/>
      <c r="N221" s="2"/>
      <c r="O221" s="35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  <c r="AA221" s="3"/>
      <c r="AB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2"/>
      <c r="J222" s="2"/>
      <c r="K222" s="2"/>
      <c r="L222" s="2"/>
      <c r="M222" s="2"/>
      <c r="N222" s="2"/>
      <c r="O222" s="35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  <c r="AA222" s="3"/>
      <c r="AB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2"/>
      <c r="J223" s="2"/>
      <c r="K223" s="2"/>
      <c r="L223" s="2"/>
      <c r="M223" s="2"/>
      <c r="N223" s="2"/>
      <c r="O223" s="35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  <c r="AA223" s="3"/>
      <c r="AB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2"/>
      <c r="J224" s="2"/>
      <c r="K224" s="2"/>
      <c r="L224" s="2"/>
      <c r="M224" s="2"/>
      <c r="N224" s="2"/>
      <c r="O224" s="35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  <c r="AA224" s="3"/>
      <c r="AB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2"/>
      <c r="J225" s="2"/>
      <c r="K225" s="2"/>
      <c r="L225" s="2"/>
      <c r="M225" s="2"/>
      <c r="N225" s="2"/>
      <c r="O225" s="35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  <c r="AA225" s="3"/>
      <c r="AB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2"/>
      <c r="J226" s="2"/>
      <c r="K226" s="2"/>
      <c r="L226" s="2"/>
      <c r="M226" s="2"/>
      <c r="N226" s="2"/>
      <c r="O226" s="35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  <c r="AA226" s="3"/>
      <c r="AB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2"/>
      <c r="J227" s="2"/>
      <c r="K227" s="2"/>
      <c r="L227" s="2"/>
      <c r="M227" s="2"/>
      <c r="N227" s="2"/>
      <c r="O227" s="35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  <c r="AA227" s="3"/>
      <c r="AB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2"/>
      <c r="J228" s="2"/>
      <c r="K228" s="2"/>
      <c r="L228" s="2"/>
      <c r="M228" s="2"/>
      <c r="N228" s="2"/>
      <c r="O228" s="35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  <c r="AA228" s="3"/>
      <c r="AB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2"/>
      <c r="J229" s="2"/>
      <c r="K229" s="2"/>
      <c r="L229" s="2"/>
      <c r="M229" s="2"/>
      <c r="N229" s="2"/>
      <c r="O229" s="35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  <c r="AA229" s="3"/>
      <c r="AB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2"/>
      <c r="J230" s="2"/>
      <c r="K230" s="2"/>
      <c r="L230" s="2"/>
      <c r="M230" s="2"/>
      <c r="N230" s="2"/>
      <c r="O230" s="35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  <c r="AA230" s="3"/>
      <c r="AB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2"/>
      <c r="J231" s="2"/>
      <c r="K231" s="2"/>
      <c r="L231" s="2"/>
      <c r="M231" s="2"/>
      <c r="N231" s="2"/>
      <c r="O231" s="35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  <c r="AA231" s="3"/>
      <c r="AB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2"/>
      <c r="J232" s="2"/>
      <c r="K232" s="2"/>
      <c r="L232" s="2"/>
      <c r="M232" s="2"/>
      <c r="N232" s="2"/>
      <c r="O232" s="35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  <c r="AA232" s="3"/>
      <c r="AB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2"/>
      <c r="J233" s="2"/>
      <c r="K233" s="2"/>
      <c r="L233" s="2"/>
      <c r="M233" s="2"/>
      <c r="N233" s="2"/>
      <c r="O233" s="35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  <c r="AA233" s="3"/>
      <c r="AB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2"/>
      <c r="J234" s="2"/>
      <c r="K234" s="2"/>
      <c r="L234" s="2"/>
      <c r="M234" s="2"/>
      <c r="N234" s="2"/>
      <c r="O234" s="35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  <c r="AA234" s="3"/>
      <c r="AB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2"/>
      <c r="J235" s="2"/>
      <c r="K235" s="2"/>
      <c r="L235" s="2"/>
      <c r="M235" s="2"/>
      <c r="N235" s="2"/>
      <c r="O235" s="35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  <c r="AA235" s="3"/>
      <c r="AB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2"/>
      <c r="J236" s="2"/>
      <c r="K236" s="2"/>
      <c r="L236" s="2"/>
      <c r="M236" s="2"/>
      <c r="N236" s="2"/>
      <c r="O236" s="35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  <c r="AA236" s="3"/>
      <c r="AB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2"/>
      <c r="J237" s="2"/>
      <c r="K237" s="2"/>
      <c r="L237" s="2"/>
      <c r="M237" s="2"/>
      <c r="N237" s="2"/>
      <c r="O237" s="35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  <c r="AA237" s="3"/>
      <c r="AB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2"/>
      <c r="J238" s="2"/>
      <c r="K238" s="2"/>
      <c r="L238" s="2"/>
      <c r="M238" s="2"/>
      <c r="N238" s="2"/>
      <c r="O238" s="35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  <c r="AA238" s="3"/>
      <c r="AB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2"/>
      <c r="J239" s="2"/>
      <c r="K239" s="2"/>
      <c r="L239" s="2"/>
      <c r="M239" s="2"/>
      <c r="N239" s="2"/>
      <c r="O239" s="35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  <c r="AA239" s="3"/>
      <c r="AB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2"/>
      <c r="J240" s="2"/>
      <c r="K240" s="2"/>
      <c r="L240" s="2"/>
      <c r="M240" s="2"/>
      <c r="N240" s="2"/>
      <c r="O240" s="35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  <c r="AA240" s="3"/>
      <c r="AB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2"/>
      <c r="J241" s="2"/>
      <c r="K241" s="2"/>
      <c r="L241" s="2"/>
      <c r="M241" s="2"/>
      <c r="N241" s="2"/>
      <c r="O241" s="35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  <c r="AA241" s="3"/>
      <c r="AB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2"/>
      <c r="J242" s="2"/>
      <c r="K242" s="2"/>
      <c r="L242" s="2"/>
      <c r="M242" s="2"/>
      <c r="N242" s="2"/>
      <c r="O242" s="35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  <c r="AA242" s="3"/>
      <c r="AB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2"/>
      <c r="J243" s="2"/>
      <c r="K243" s="2"/>
      <c r="L243" s="2"/>
      <c r="M243" s="2"/>
      <c r="N243" s="2"/>
      <c r="O243" s="35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  <c r="AA243" s="3"/>
      <c r="AB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2"/>
      <c r="J244" s="2"/>
      <c r="K244" s="2"/>
      <c r="L244" s="2"/>
      <c r="M244" s="2"/>
      <c r="N244" s="2"/>
      <c r="O244" s="35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  <c r="AA244" s="3"/>
      <c r="AB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2"/>
      <c r="J245" s="2"/>
      <c r="K245" s="2"/>
      <c r="L245" s="2"/>
      <c r="M245" s="2"/>
      <c r="N245" s="2"/>
      <c r="O245" s="35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  <c r="AA245" s="3"/>
      <c r="AB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2"/>
      <c r="J246" s="2"/>
      <c r="K246" s="2"/>
      <c r="L246" s="2"/>
      <c r="M246" s="2"/>
      <c r="N246" s="2"/>
      <c r="O246" s="35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  <c r="AA246" s="3"/>
      <c r="AB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2"/>
      <c r="J247" s="2"/>
      <c r="K247" s="2"/>
      <c r="L247" s="2"/>
      <c r="M247" s="2"/>
      <c r="N247" s="2"/>
      <c r="O247" s="35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  <c r="AA247" s="3"/>
      <c r="AB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2"/>
      <c r="J248" s="2"/>
      <c r="K248" s="2"/>
      <c r="L248" s="2"/>
      <c r="M248" s="2"/>
      <c r="N248" s="2"/>
      <c r="O248" s="35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  <c r="AA248" s="3"/>
      <c r="AB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2"/>
      <c r="J249" s="2"/>
      <c r="K249" s="2"/>
      <c r="L249" s="2"/>
      <c r="M249" s="2"/>
      <c r="N249" s="2"/>
      <c r="O249" s="35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  <c r="AA249" s="3"/>
      <c r="AB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2"/>
      <c r="J250" s="2"/>
      <c r="K250" s="2"/>
      <c r="L250" s="2"/>
      <c r="M250" s="2"/>
      <c r="N250" s="2"/>
      <c r="O250" s="35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  <c r="AA250" s="3"/>
      <c r="AB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2"/>
      <c r="J251" s="2"/>
      <c r="K251" s="2"/>
      <c r="L251" s="2"/>
      <c r="M251" s="2"/>
      <c r="N251" s="2"/>
      <c r="O251" s="35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  <c r="AA251" s="3"/>
      <c r="AB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2"/>
      <c r="J252" s="2"/>
      <c r="K252" s="2"/>
      <c r="L252" s="2"/>
      <c r="M252" s="2"/>
      <c r="N252" s="2"/>
      <c r="O252" s="35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  <c r="AA252" s="3"/>
      <c r="AB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2"/>
      <c r="J253" s="2"/>
      <c r="K253" s="2"/>
      <c r="L253" s="2"/>
      <c r="M253" s="2"/>
      <c r="N253" s="2"/>
      <c r="O253" s="35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  <c r="AA253" s="3"/>
      <c r="AB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2"/>
      <c r="J254" s="2"/>
      <c r="K254" s="2"/>
      <c r="L254" s="2"/>
      <c r="M254" s="2"/>
      <c r="N254" s="2"/>
      <c r="O254" s="35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  <c r="AA254" s="3"/>
      <c r="AB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C2"/>
    <mergeCell ref="C3:E3"/>
    <mergeCell ref="F3:H3"/>
    <mergeCell ref="I3:K3"/>
    <mergeCell ref="L3:N3"/>
    <mergeCell ref="O3:Q3"/>
    <mergeCell ref="R3:T3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29.29"/>
    <col customWidth="1" min="4" max="4" width="20.71"/>
    <col customWidth="1" min="5" max="5" width="25.57"/>
    <col customWidth="1" min="6" max="6" width="32.86"/>
    <col customWidth="1" min="7" max="8" width="19.29"/>
    <col customWidth="1" min="9" max="9" width="25.71"/>
    <col customWidth="1" min="10" max="11" width="19.29"/>
    <col customWidth="1" min="12" max="12" width="28.14"/>
    <col customWidth="1" min="13" max="13" width="24.71"/>
    <col customWidth="1" min="14" max="14" width="29.57"/>
    <col customWidth="1" min="15" max="22" width="13.57"/>
  </cols>
  <sheetData>
    <row r="1">
      <c r="A1" s="1"/>
      <c r="B1" s="2" t="s">
        <v>816</v>
      </c>
      <c r="C1" s="3" t="s">
        <v>817</v>
      </c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s">
        <v>818</v>
      </c>
      <c r="D2" s="5" t="s">
        <v>1</v>
      </c>
      <c r="E2" s="1">
        <v>1.0E9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6"/>
    </row>
    <row r="3">
      <c r="A3" s="7"/>
      <c r="B3" s="7"/>
      <c r="C3" s="8" t="s">
        <v>2</v>
      </c>
      <c r="D3" s="9"/>
      <c r="E3" s="10"/>
      <c r="F3" s="13" t="s">
        <v>619</v>
      </c>
      <c r="G3" s="9"/>
      <c r="H3" s="10"/>
      <c r="I3" s="15" t="s">
        <v>6</v>
      </c>
      <c r="J3" s="9"/>
      <c r="K3" s="10"/>
      <c r="L3" s="45"/>
      <c r="M3" s="5"/>
      <c r="N3" s="45"/>
      <c r="O3" s="3"/>
      <c r="P3" s="3"/>
      <c r="Q3" s="3"/>
      <c r="R3" s="3"/>
      <c r="S3" s="3"/>
      <c r="T3" s="3"/>
      <c r="U3" s="3"/>
      <c r="V3" s="6"/>
    </row>
    <row r="4">
      <c r="A4" s="16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20" t="s">
        <v>12</v>
      </c>
      <c r="G4" s="20" t="s">
        <v>13</v>
      </c>
      <c r="H4" s="20" t="s">
        <v>16</v>
      </c>
      <c r="I4" s="23" t="s">
        <v>20</v>
      </c>
      <c r="J4" s="23" t="s">
        <v>21</v>
      </c>
      <c r="K4" s="23" t="s">
        <v>22</v>
      </c>
      <c r="L4" s="46"/>
      <c r="M4" s="46"/>
      <c r="N4" s="46"/>
      <c r="O4" s="3"/>
      <c r="P4" s="3"/>
      <c r="Q4" s="3"/>
      <c r="R4" s="3"/>
      <c r="S4" s="3"/>
      <c r="T4" s="3"/>
      <c r="U4" s="3"/>
      <c r="V4" s="6"/>
    </row>
    <row r="5" ht="30.0" customHeight="1">
      <c r="A5" s="1">
        <v>1.0</v>
      </c>
      <c r="B5" s="24" t="s">
        <v>819</v>
      </c>
      <c r="C5" s="47" t="s">
        <v>820</v>
      </c>
      <c r="D5" s="48">
        <v>0.4727</v>
      </c>
      <c r="E5" s="48">
        <v>118.092387676239</v>
      </c>
      <c r="F5" s="29" t="s">
        <v>821</v>
      </c>
      <c r="G5" s="28">
        <v>0.4727</v>
      </c>
      <c r="H5" s="28">
        <v>0.294187545776367</v>
      </c>
      <c r="I5" s="49" t="s">
        <v>822</v>
      </c>
      <c r="J5" s="50">
        <v>0.47265625</v>
      </c>
      <c r="K5" s="50">
        <v>0.0887086391448974</v>
      </c>
      <c r="L5" s="3">
        <f t="shared" ref="L5:L54" si="1">E5/K5</f>
        <v>1331.23886</v>
      </c>
      <c r="M5" s="3"/>
      <c r="N5" s="3"/>
      <c r="O5" s="3"/>
      <c r="P5" s="3"/>
      <c r="Q5" s="3"/>
      <c r="R5" s="3"/>
      <c r="S5" s="3"/>
      <c r="T5" s="3"/>
      <c r="U5" s="3"/>
      <c r="V5" s="6"/>
    </row>
    <row r="6" ht="30.0" customHeight="1">
      <c r="A6" s="1">
        <v>2.0</v>
      </c>
      <c r="B6" s="24" t="s">
        <v>823</v>
      </c>
      <c r="C6" s="47" t="s">
        <v>824</v>
      </c>
      <c r="D6" s="48">
        <v>0.0049</v>
      </c>
      <c r="E6" s="48">
        <v>57.9725923538208</v>
      </c>
      <c r="F6" s="29" t="s">
        <v>825</v>
      </c>
      <c r="G6" s="28">
        <v>0.0049</v>
      </c>
      <c r="H6" s="28">
        <v>0.169014692306518</v>
      </c>
      <c r="I6" s="49" t="s">
        <v>826</v>
      </c>
      <c r="J6" s="50">
        <v>0.0048828125</v>
      </c>
      <c r="K6" s="50">
        <v>0.0398659706115722</v>
      </c>
      <c r="L6" s="3">
        <f t="shared" si="1"/>
        <v>1454.187405</v>
      </c>
      <c r="M6" s="3"/>
      <c r="N6" s="3"/>
      <c r="O6" s="3"/>
      <c r="P6" s="3"/>
      <c r="Q6" s="3"/>
      <c r="R6" s="3"/>
      <c r="S6" s="3"/>
      <c r="T6" s="3"/>
      <c r="U6" s="3"/>
      <c r="V6" s="6"/>
    </row>
    <row r="7" ht="30.0" customHeight="1">
      <c r="A7" s="1">
        <v>3.0</v>
      </c>
      <c r="B7" s="24" t="s">
        <v>827</v>
      </c>
      <c r="C7" s="47" t="s">
        <v>828</v>
      </c>
      <c r="D7" s="48">
        <v>0.0049</v>
      </c>
      <c r="E7" s="48">
        <v>56.9324281215667</v>
      </c>
      <c r="F7" s="29" t="s">
        <v>829</v>
      </c>
      <c r="G7" s="28">
        <v>0.0049</v>
      </c>
      <c r="H7" s="28">
        <v>0.139629364013671</v>
      </c>
      <c r="I7" s="49" t="s">
        <v>830</v>
      </c>
      <c r="J7" s="50">
        <v>0.0048828125</v>
      </c>
      <c r="K7" s="50">
        <v>0.036888837814331</v>
      </c>
      <c r="L7" s="3">
        <f t="shared" si="1"/>
        <v>1543.351092</v>
      </c>
      <c r="M7" s="3"/>
      <c r="N7" s="3"/>
      <c r="O7" s="3"/>
      <c r="P7" s="3"/>
      <c r="Q7" s="3"/>
      <c r="R7" s="3"/>
      <c r="S7" s="3"/>
      <c r="T7" s="3"/>
      <c r="U7" s="3"/>
      <c r="V7" s="6"/>
    </row>
    <row r="8" ht="30.0" customHeight="1">
      <c r="A8" s="1">
        <v>4.0</v>
      </c>
      <c r="B8" s="24" t="s">
        <v>831</v>
      </c>
      <c r="C8" s="47" t="s">
        <v>832</v>
      </c>
      <c r="D8" s="48">
        <v>0.0117</v>
      </c>
      <c r="E8" s="48">
        <v>28.8576402664184</v>
      </c>
      <c r="F8" s="29" t="s">
        <v>833</v>
      </c>
      <c r="G8" s="28">
        <v>0.0117</v>
      </c>
      <c r="H8" s="28">
        <v>0.118182897567749</v>
      </c>
      <c r="I8" s="49" t="s">
        <v>834</v>
      </c>
      <c r="J8" s="50">
        <v>0.01171875</v>
      </c>
      <c r="K8" s="50">
        <v>0.0269110202789306</v>
      </c>
      <c r="L8" s="3">
        <f t="shared" si="1"/>
        <v>1072.335421</v>
      </c>
      <c r="M8" s="3"/>
      <c r="N8" s="3"/>
      <c r="O8" s="3"/>
      <c r="P8" s="3"/>
      <c r="Q8" s="3"/>
      <c r="R8" s="3"/>
      <c r="S8" s="3"/>
      <c r="T8" s="3"/>
      <c r="U8" s="3"/>
      <c r="V8" s="6"/>
    </row>
    <row r="9" ht="30.0" customHeight="1">
      <c r="A9" s="1">
        <v>5.0</v>
      </c>
      <c r="B9" s="24" t="s">
        <v>835</v>
      </c>
      <c r="C9" s="47" t="s">
        <v>836</v>
      </c>
      <c r="D9" s="48">
        <v>0.0156</v>
      </c>
      <c r="E9" s="48">
        <v>3.49705004692077</v>
      </c>
      <c r="F9" s="29" t="s">
        <v>837</v>
      </c>
      <c r="G9" s="28">
        <v>0.0156</v>
      </c>
      <c r="H9" s="28">
        <v>0.0764782428741455</v>
      </c>
      <c r="I9" s="49" t="s">
        <v>838</v>
      </c>
      <c r="J9" s="50">
        <v>0.015625</v>
      </c>
      <c r="K9" s="50">
        <v>0.0109741687774658</v>
      </c>
      <c r="L9" s="3">
        <f t="shared" si="1"/>
        <v>318.6619522</v>
      </c>
      <c r="M9" s="3"/>
      <c r="N9" s="3"/>
      <c r="O9" s="3"/>
      <c r="P9" s="3"/>
      <c r="Q9" s="3"/>
      <c r="R9" s="3"/>
      <c r="S9" s="3"/>
      <c r="T9" s="3"/>
      <c r="U9" s="3"/>
      <c r="V9" s="6"/>
    </row>
    <row r="10" ht="30.0" customHeight="1">
      <c r="A10" s="1">
        <v>6.0</v>
      </c>
      <c r="B10" s="24" t="s">
        <v>839</v>
      </c>
      <c r="C10" s="47" t="s">
        <v>840</v>
      </c>
      <c r="D10" s="48">
        <v>0.0039</v>
      </c>
      <c r="E10" s="48">
        <v>3.4659457206726</v>
      </c>
      <c r="F10" s="29" t="s">
        <v>841</v>
      </c>
      <c r="G10" s="28">
        <v>0.0039</v>
      </c>
      <c r="H10" s="28">
        <v>0.074052095413208</v>
      </c>
      <c r="I10" s="49" t="s">
        <v>842</v>
      </c>
      <c r="J10" s="50">
        <v>0.00390625</v>
      </c>
      <c r="K10" s="50">
        <v>0.0119493007659912</v>
      </c>
      <c r="L10" s="3">
        <f t="shared" si="1"/>
        <v>290.0542708</v>
      </c>
      <c r="M10" s="3"/>
      <c r="N10" s="3"/>
      <c r="O10" s="3"/>
      <c r="P10" s="3"/>
      <c r="Q10" s="3"/>
      <c r="R10" s="3"/>
      <c r="S10" s="3"/>
      <c r="T10" s="3"/>
      <c r="U10" s="3"/>
      <c r="V10" s="6"/>
    </row>
    <row r="11" ht="30.0" customHeight="1">
      <c r="A11" s="1">
        <v>7.0</v>
      </c>
      <c r="B11" s="24" t="s">
        <v>843</v>
      </c>
      <c r="C11" s="47" t="s">
        <v>844</v>
      </c>
      <c r="D11" s="48">
        <v>0.0059</v>
      </c>
      <c r="E11" s="48">
        <v>13.9950022697448</v>
      </c>
      <c r="F11" s="29" t="s">
        <v>845</v>
      </c>
      <c r="G11" s="28">
        <v>0.0059</v>
      </c>
      <c r="H11" s="28">
        <v>0.104291439056396</v>
      </c>
      <c r="I11" s="49" t="s">
        <v>846</v>
      </c>
      <c r="J11" s="50">
        <v>0.005859375</v>
      </c>
      <c r="K11" s="50">
        <v>0.0179364681243896</v>
      </c>
      <c r="L11" s="3">
        <f t="shared" si="1"/>
        <v>780.2540708</v>
      </c>
      <c r="M11" s="3"/>
      <c r="N11" s="3"/>
      <c r="O11" s="3"/>
      <c r="P11" s="3"/>
      <c r="Q11" s="3"/>
      <c r="R11" s="3"/>
      <c r="S11" s="3"/>
      <c r="T11" s="3"/>
      <c r="U11" s="3"/>
      <c r="V11" s="6"/>
    </row>
    <row r="12" ht="30.0" customHeight="1">
      <c r="A12" s="1">
        <v>8.0</v>
      </c>
      <c r="B12" s="24" t="s">
        <v>847</v>
      </c>
      <c r="C12" s="47" t="s">
        <v>848</v>
      </c>
      <c r="D12" s="48">
        <v>0.4727</v>
      </c>
      <c r="E12" s="48">
        <v>52.8098940849304</v>
      </c>
      <c r="F12" s="29" t="s">
        <v>849</v>
      </c>
      <c r="G12" s="28">
        <v>0.4727</v>
      </c>
      <c r="H12" s="28">
        <v>0.168274879455566</v>
      </c>
      <c r="I12" s="49" t="s">
        <v>850</v>
      </c>
      <c r="J12" s="50">
        <v>0.47265625</v>
      </c>
      <c r="K12" s="50">
        <v>0.0697662830352783</v>
      </c>
      <c r="L12" s="3">
        <f t="shared" si="1"/>
        <v>756.9543881</v>
      </c>
      <c r="M12" s="3"/>
      <c r="N12" s="3"/>
      <c r="O12" s="3"/>
      <c r="P12" s="3"/>
      <c r="Q12" s="3"/>
      <c r="R12" s="3"/>
      <c r="S12" s="3"/>
      <c r="T12" s="3"/>
      <c r="U12" s="3"/>
      <c r="V12" s="6"/>
    </row>
    <row r="13" ht="30.0" customHeight="1">
      <c r="A13" s="1">
        <v>9.0</v>
      </c>
      <c r="B13" s="24" t="s">
        <v>851</v>
      </c>
      <c r="C13" s="47" t="s">
        <v>852</v>
      </c>
      <c r="D13" s="48">
        <v>0.0049</v>
      </c>
      <c r="E13" s="48">
        <v>26.7813546657562</v>
      </c>
      <c r="F13" s="29" t="s">
        <v>853</v>
      </c>
      <c r="G13" s="28">
        <v>0.0049</v>
      </c>
      <c r="H13" s="28">
        <v>0.15017294883728</v>
      </c>
      <c r="I13" s="49" t="s">
        <v>854</v>
      </c>
      <c r="J13" s="50">
        <v>0.0048828125</v>
      </c>
      <c r="K13" s="50">
        <v>0.0378921031951904</v>
      </c>
      <c r="L13" s="3">
        <f t="shared" si="1"/>
        <v>706.779313</v>
      </c>
      <c r="M13" s="3"/>
      <c r="N13" s="3"/>
      <c r="O13" s="3"/>
      <c r="P13" s="3"/>
      <c r="Q13" s="3"/>
      <c r="R13" s="3"/>
      <c r="S13" s="3"/>
      <c r="T13" s="3"/>
      <c r="U13" s="3"/>
      <c r="V13" s="6"/>
    </row>
    <row r="14" ht="30.0" customHeight="1">
      <c r="A14" s="1">
        <v>10.0</v>
      </c>
      <c r="B14" s="24" t="s">
        <v>855</v>
      </c>
      <c r="C14" s="47" t="s">
        <v>856</v>
      </c>
      <c r="D14" s="48">
        <v>0.0049</v>
      </c>
      <c r="E14" s="48">
        <v>26.5093700885772</v>
      </c>
      <c r="F14" s="29" t="s">
        <v>857</v>
      </c>
      <c r="G14" s="28">
        <v>0.0049</v>
      </c>
      <c r="H14" s="28">
        <v>0.115421533584594</v>
      </c>
      <c r="I14" s="49" t="s">
        <v>858</v>
      </c>
      <c r="J14" s="50">
        <v>0.0048828125</v>
      </c>
      <c r="K14" s="50">
        <v>0.0368762016296386</v>
      </c>
      <c r="L14" s="3">
        <f t="shared" si="1"/>
        <v>718.8747462</v>
      </c>
      <c r="M14" s="3"/>
      <c r="N14" s="3"/>
      <c r="O14" s="3"/>
      <c r="P14" s="3"/>
      <c r="Q14" s="3"/>
      <c r="R14" s="3"/>
      <c r="S14" s="3"/>
      <c r="T14" s="3"/>
      <c r="U14" s="3"/>
      <c r="V14" s="6"/>
    </row>
    <row r="15" ht="30.0" customHeight="1">
      <c r="A15" s="1">
        <v>11.0</v>
      </c>
      <c r="B15" s="24" t="s">
        <v>859</v>
      </c>
      <c r="C15" s="47" t="s">
        <v>860</v>
      </c>
      <c r="D15" s="48">
        <v>0.0117</v>
      </c>
      <c r="E15" s="48">
        <v>13.4845035076141</v>
      </c>
      <c r="F15" s="29" t="s">
        <v>861</v>
      </c>
      <c r="G15" s="28">
        <v>0.0117</v>
      </c>
      <c r="H15" s="28">
        <v>0.0988326072692871</v>
      </c>
      <c r="I15" s="49" t="s">
        <v>862</v>
      </c>
      <c r="J15" s="50">
        <v>0.01171875</v>
      </c>
      <c r="K15" s="50">
        <v>0.0259194374084472</v>
      </c>
      <c r="L15" s="3">
        <f t="shared" si="1"/>
        <v>520.2467667</v>
      </c>
      <c r="M15" s="3"/>
      <c r="N15" s="3"/>
      <c r="O15" s="3"/>
      <c r="P15" s="3"/>
      <c r="Q15" s="3"/>
      <c r="R15" s="3"/>
      <c r="S15" s="3"/>
      <c r="T15" s="3"/>
      <c r="U15" s="3"/>
      <c r="V15" s="6"/>
    </row>
    <row r="16" ht="30.0" customHeight="1">
      <c r="A16" s="1">
        <v>12.0</v>
      </c>
      <c r="B16" s="24" t="s">
        <v>863</v>
      </c>
      <c r="C16" s="47" t="s">
        <v>864</v>
      </c>
      <c r="D16" s="48">
        <v>0.0156</v>
      </c>
      <c r="E16" s="48">
        <v>1.65422868728637</v>
      </c>
      <c r="F16" s="29" t="s">
        <v>865</v>
      </c>
      <c r="G16" s="28">
        <v>0.0156</v>
      </c>
      <c r="H16" s="28">
        <v>0.0704348087310791</v>
      </c>
      <c r="I16" s="49" t="s">
        <v>866</v>
      </c>
      <c r="J16" s="50">
        <v>0.015625</v>
      </c>
      <c r="K16" s="50">
        <v>0.0109517574310302</v>
      </c>
      <c r="L16" s="3">
        <f t="shared" si="1"/>
        <v>151.0468706</v>
      </c>
      <c r="M16" s="3"/>
      <c r="N16" s="3"/>
      <c r="O16" s="3"/>
      <c r="P16" s="3"/>
      <c r="Q16" s="3"/>
      <c r="R16" s="3"/>
      <c r="S16" s="3"/>
      <c r="T16" s="3"/>
      <c r="U16" s="3"/>
      <c r="V16" s="6"/>
    </row>
    <row r="17" ht="30.0" customHeight="1">
      <c r="A17" s="1">
        <v>13.0</v>
      </c>
      <c r="B17" s="24" t="s">
        <v>867</v>
      </c>
      <c r="C17" s="47" t="s">
        <v>868</v>
      </c>
      <c r="D17" s="48">
        <v>0.0039</v>
      </c>
      <c r="E17" s="48">
        <v>1.68832039833068</v>
      </c>
      <c r="F17" s="29" t="s">
        <v>869</v>
      </c>
      <c r="G17" s="28">
        <v>0.0039</v>
      </c>
      <c r="H17" s="28">
        <v>0.0626137256622314</v>
      </c>
      <c r="I17" s="49" t="s">
        <v>870</v>
      </c>
      <c r="J17" s="50">
        <v>0.00390625</v>
      </c>
      <c r="K17" s="50">
        <v>0.00996327400207519</v>
      </c>
      <c r="L17" s="3">
        <f t="shared" si="1"/>
        <v>169.4543779</v>
      </c>
      <c r="M17" s="3"/>
      <c r="N17" s="3"/>
      <c r="O17" s="3"/>
      <c r="P17" s="3"/>
      <c r="Q17" s="3"/>
      <c r="R17" s="3"/>
      <c r="S17" s="3"/>
      <c r="T17" s="3"/>
      <c r="U17" s="3"/>
      <c r="V17" s="6"/>
    </row>
    <row r="18" ht="30.0" customHeight="1">
      <c r="A18" s="1">
        <v>14.0</v>
      </c>
      <c r="B18" s="24" t="s">
        <v>871</v>
      </c>
      <c r="C18" s="47" t="s">
        <v>872</v>
      </c>
      <c r="D18" s="48">
        <v>0.0195</v>
      </c>
      <c r="E18" s="48">
        <v>6.67730522155761</v>
      </c>
      <c r="F18" s="29" t="s">
        <v>873</v>
      </c>
      <c r="G18" s="28">
        <v>0.0195</v>
      </c>
      <c r="H18" s="28">
        <v>0.0855543613433837</v>
      </c>
      <c r="I18" s="49" t="s">
        <v>874</v>
      </c>
      <c r="J18" s="50">
        <v>0.01953125</v>
      </c>
      <c r="K18" s="50">
        <v>0.0154640674591064</v>
      </c>
      <c r="L18" s="3">
        <f t="shared" si="1"/>
        <v>431.7948844</v>
      </c>
      <c r="M18" s="3"/>
      <c r="N18" s="3"/>
      <c r="O18" s="3"/>
      <c r="P18" s="3"/>
      <c r="Q18" s="3"/>
      <c r="R18" s="3"/>
      <c r="S18" s="3"/>
      <c r="T18" s="3"/>
      <c r="U18" s="3"/>
      <c r="V18" s="6"/>
    </row>
    <row r="19" ht="30.0" customHeight="1">
      <c r="A19" s="1">
        <v>15.0</v>
      </c>
      <c r="B19" s="24" t="s">
        <v>875</v>
      </c>
      <c r="C19" s="47" t="s">
        <v>876</v>
      </c>
      <c r="D19" s="48">
        <v>0.4727</v>
      </c>
      <c r="E19" s="48">
        <v>53.4817609786987</v>
      </c>
      <c r="F19" s="29" t="s">
        <v>877</v>
      </c>
      <c r="G19" s="28">
        <v>0.4727</v>
      </c>
      <c r="H19" s="28">
        <v>0.187909126281738</v>
      </c>
      <c r="I19" s="49" t="s">
        <v>878</v>
      </c>
      <c r="J19" s="50">
        <v>0.47265625</v>
      </c>
      <c r="K19" s="50">
        <v>0.0867116451263427</v>
      </c>
      <c r="L19" s="3">
        <f t="shared" si="1"/>
        <v>616.7771457</v>
      </c>
      <c r="M19" s="3"/>
      <c r="N19" s="3"/>
      <c r="O19" s="3"/>
      <c r="P19" s="3"/>
      <c r="Q19" s="3"/>
      <c r="R19" s="3"/>
      <c r="S19" s="3"/>
      <c r="T19" s="3"/>
      <c r="U19" s="3"/>
      <c r="V19" s="6"/>
    </row>
    <row r="20" ht="30.0" customHeight="1">
      <c r="A20" s="1">
        <v>16.0</v>
      </c>
      <c r="B20" s="24" t="s">
        <v>879</v>
      </c>
      <c r="C20" s="47" t="s">
        <v>880</v>
      </c>
      <c r="D20" s="48">
        <v>0.0049</v>
      </c>
      <c r="E20" s="48">
        <v>26.7363467216491</v>
      </c>
      <c r="F20" s="29" t="s">
        <v>881</v>
      </c>
      <c r="G20" s="28">
        <v>0.0049</v>
      </c>
      <c r="H20" s="28">
        <v>0.13203740119934</v>
      </c>
      <c r="I20" s="49" t="s">
        <v>882</v>
      </c>
      <c r="J20" s="50">
        <v>0.0048828125</v>
      </c>
      <c r="K20" s="50">
        <v>0.0428593158721923</v>
      </c>
      <c r="L20" s="3">
        <f t="shared" si="1"/>
        <v>623.8164604</v>
      </c>
      <c r="M20" s="3"/>
      <c r="N20" s="3"/>
      <c r="O20" s="3"/>
      <c r="P20" s="3"/>
      <c r="Q20" s="3"/>
      <c r="R20" s="3"/>
      <c r="S20" s="3"/>
      <c r="T20" s="3"/>
      <c r="U20" s="3"/>
      <c r="V20" s="6"/>
    </row>
    <row r="21" ht="30.0" customHeight="1">
      <c r="A21" s="1">
        <v>17.0</v>
      </c>
      <c r="B21" s="24" t="s">
        <v>883</v>
      </c>
      <c r="C21" s="47" t="s">
        <v>884</v>
      </c>
      <c r="D21" s="48">
        <v>0.0049</v>
      </c>
      <c r="E21" s="48">
        <v>26.8655335903167</v>
      </c>
      <c r="F21" s="29" t="s">
        <v>885</v>
      </c>
      <c r="G21" s="28">
        <v>0.0049</v>
      </c>
      <c r="H21" s="28">
        <v>0.125258684158325</v>
      </c>
      <c r="I21" s="49" t="s">
        <v>886</v>
      </c>
      <c r="J21" s="50">
        <v>0.0048828125</v>
      </c>
      <c r="K21" s="50">
        <v>0.0448393821716308</v>
      </c>
      <c r="L21" s="3">
        <f t="shared" si="1"/>
        <v>599.1503961</v>
      </c>
      <c r="M21" s="3"/>
      <c r="N21" s="3"/>
      <c r="O21" s="3"/>
      <c r="P21" s="3"/>
      <c r="Q21" s="3"/>
      <c r="R21" s="3"/>
      <c r="S21" s="3"/>
      <c r="T21" s="3"/>
      <c r="U21" s="3"/>
      <c r="V21" s="6"/>
    </row>
    <row r="22" ht="30.0" customHeight="1">
      <c r="A22" s="1">
        <v>18.0</v>
      </c>
      <c r="B22" s="24" t="s">
        <v>887</v>
      </c>
      <c r="C22" s="47" t="s">
        <v>888</v>
      </c>
      <c r="D22" s="48">
        <v>0.0117</v>
      </c>
      <c r="E22" s="48">
        <v>13.6981420516967</v>
      </c>
      <c r="F22" s="29" t="s">
        <v>889</v>
      </c>
      <c r="G22" s="28">
        <v>0.0117</v>
      </c>
      <c r="H22" s="28">
        <v>0.101572275161743</v>
      </c>
      <c r="I22" s="49" t="s">
        <v>890</v>
      </c>
      <c r="J22" s="50">
        <v>0.01171875</v>
      </c>
      <c r="K22" s="50">
        <v>0.0308983325958251</v>
      </c>
      <c r="L22" s="3">
        <f t="shared" si="1"/>
        <v>443.3294907</v>
      </c>
      <c r="M22" s="3"/>
      <c r="N22" s="3"/>
      <c r="O22" s="3"/>
      <c r="P22" s="3"/>
      <c r="Q22" s="3"/>
      <c r="R22" s="3"/>
      <c r="S22" s="3"/>
      <c r="T22" s="3"/>
      <c r="U22" s="3"/>
      <c r="V22" s="6"/>
    </row>
    <row r="23" ht="30.0" customHeight="1">
      <c r="A23" s="1">
        <v>19.0</v>
      </c>
      <c r="B23" s="24" t="s">
        <v>891</v>
      </c>
      <c r="C23" s="47" t="s">
        <v>892</v>
      </c>
      <c r="D23" s="48">
        <v>0.0156</v>
      </c>
      <c r="E23" s="48">
        <v>1.70009493827819</v>
      </c>
      <c r="F23" s="29" t="s">
        <v>893</v>
      </c>
      <c r="G23" s="28">
        <v>0.0156</v>
      </c>
      <c r="H23" s="28">
        <v>0.0661604404449462</v>
      </c>
      <c r="I23" s="49" t="s">
        <v>894</v>
      </c>
      <c r="J23" s="50">
        <v>0.015625</v>
      </c>
      <c r="K23" s="50">
        <v>0.0139448642730712</v>
      </c>
      <c r="L23" s="3">
        <f t="shared" si="1"/>
        <v>121.9154884</v>
      </c>
      <c r="M23" s="3"/>
      <c r="N23" s="3"/>
      <c r="O23" s="3"/>
      <c r="P23" s="3"/>
      <c r="Q23" s="3"/>
      <c r="R23" s="3"/>
      <c r="S23" s="3"/>
      <c r="T23" s="3"/>
      <c r="U23" s="3"/>
      <c r="V23" s="6"/>
    </row>
    <row r="24" ht="30.0" customHeight="1">
      <c r="A24" s="1">
        <v>20.0</v>
      </c>
      <c r="B24" s="24" t="s">
        <v>895</v>
      </c>
      <c r="C24" s="47" t="s">
        <v>896</v>
      </c>
      <c r="D24" s="48">
        <v>0.0039</v>
      </c>
      <c r="E24" s="48">
        <v>1.65569448471069</v>
      </c>
      <c r="F24" s="29" t="s">
        <v>897</v>
      </c>
      <c r="G24" s="28">
        <v>0.0039</v>
      </c>
      <c r="H24" s="28">
        <v>0.060232400894165</v>
      </c>
      <c r="I24" s="49" t="s">
        <v>898</v>
      </c>
      <c r="J24" s="50">
        <v>0.00390625</v>
      </c>
      <c r="K24" s="50">
        <v>0.0149450302124023</v>
      </c>
      <c r="L24" s="3">
        <f t="shared" si="1"/>
        <v>110.7856231</v>
      </c>
      <c r="M24" s="3"/>
      <c r="N24" s="3"/>
      <c r="O24" s="3"/>
      <c r="P24" s="3"/>
      <c r="Q24" s="3"/>
      <c r="R24" s="3"/>
      <c r="S24" s="3"/>
      <c r="T24" s="3"/>
      <c r="U24" s="3"/>
      <c r="V24" s="6"/>
    </row>
    <row r="25" ht="30.0" customHeight="1">
      <c r="A25" s="1">
        <v>21.0</v>
      </c>
      <c r="B25" s="24" t="s">
        <v>899</v>
      </c>
      <c r="C25" s="47" t="s">
        <v>900</v>
      </c>
      <c r="D25" s="48">
        <v>0.0059</v>
      </c>
      <c r="E25" s="48">
        <v>6.76159644126892</v>
      </c>
      <c r="F25" s="29" t="s">
        <v>901</v>
      </c>
      <c r="G25" s="28">
        <v>0.0059</v>
      </c>
      <c r="H25" s="28">
        <v>0.0835771560668945</v>
      </c>
      <c r="I25" s="49" t="s">
        <v>902</v>
      </c>
      <c r="J25" s="50">
        <v>0.005859375</v>
      </c>
      <c r="K25" s="50">
        <v>0.0159375667572021</v>
      </c>
      <c r="L25" s="3">
        <f t="shared" si="1"/>
        <v>424.2552545</v>
      </c>
      <c r="M25" s="3"/>
      <c r="N25" s="3"/>
      <c r="O25" s="3"/>
      <c r="P25" s="3"/>
      <c r="Q25" s="3"/>
      <c r="R25" s="3"/>
      <c r="S25" s="3"/>
      <c r="T25" s="3"/>
      <c r="U25" s="3"/>
      <c r="V25" s="6"/>
    </row>
    <row r="26" ht="30.0" customHeight="1">
      <c r="A26" s="1">
        <v>22.0</v>
      </c>
      <c r="B26" s="24" t="s">
        <v>903</v>
      </c>
      <c r="C26" s="47" t="s">
        <v>904</v>
      </c>
      <c r="D26" s="48">
        <v>0.4727</v>
      </c>
      <c r="E26" s="48">
        <v>25.5569038391113</v>
      </c>
      <c r="F26" s="29" t="s">
        <v>905</v>
      </c>
      <c r="G26" s="28">
        <v>0.4727</v>
      </c>
      <c r="H26" s="28">
        <v>0.14603304862976</v>
      </c>
      <c r="I26" s="49" t="s">
        <v>906</v>
      </c>
      <c r="J26" s="50">
        <v>0.47265625</v>
      </c>
      <c r="K26" s="50">
        <v>0.0817270278930664</v>
      </c>
      <c r="L26" s="3">
        <f t="shared" si="1"/>
        <v>312.71055</v>
      </c>
      <c r="M26" s="3"/>
      <c r="N26" s="3"/>
      <c r="O26" s="3"/>
      <c r="P26" s="3"/>
      <c r="Q26" s="3"/>
      <c r="R26" s="3"/>
      <c r="S26" s="3"/>
      <c r="T26" s="3"/>
      <c r="U26" s="3"/>
      <c r="V26" s="6"/>
    </row>
    <row r="27" ht="30.0" customHeight="1">
      <c r="A27" s="1">
        <v>23.0</v>
      </c>
      <c r="B27" s="24" t="s">
        <v>907</v>
      </c>
      <c r="C27" s="47" t="s">
        <v>908</v>
      </c>
      <c r="D27" s="48">
        <v>0.0049</v>
      </c>
      <c r="E27" s="48">
        <v>13.0512430667877</v>
      </c>
      <c r="F27" s="29" t="s">
        <v>909</v>
      </c>
      <c r="G27" s="28">
        <v>0.0049</v>
      </c>
      <c r="H27" s="28">
        <v>0.118008375167846</v>
      </c>
      <c r="I27" s="49" t="s">
        <v>910</v>
      </c>
      <c r="J27" s="50">
        <v>0.0048828125</v>
      </c>
      <c r="K27" s="50">
        <v>0.0438404083251953</v>
      </c>
      <c r="L27" s="3">
        <f t="shared" si="1"/>
        <v>297.6989395</v>
      </c>
      <c r="M27" s="3"/>
      <c r="N27" s="3"/>
      <c r="O27" s="3"/>
      <c r="P27" s="3"/>
      <c r="Q27" s="3"/>
      <c r="R27" s="3"/>
      <c r="S27" s="3"/>
      <c r="T27" s="3"/>
      <c r="U27" s="3"/>
      <c r="V27" s="6"/>
    </row>
    <row r="28" ht="30.0" customHeight="1">
      <c r="A28" s="1">
        <v>24.0</v>
      </c>
      <c r="B28" s="24" t="s">
        <v>911</v>
      </c>
      <c r="C28" s="47" t="s">
        <v>912</v>
      </c>
      <c r="D28" s="48">
        <v>0.0049</v>
      </c>
      <c r="E28" s="48">
        <v>12.8128545284271</v>
      </c>
      <c r="F28" s="29" t="s">
        <v>913</v>
      </c>
      <c r="G28" s="28">
        <v>0.0049</v>
      </c>
      <c r="H28" s="28">
        <v>0.0925986766815185</v>
      </c>
      <c r="I28" s="49" t="s">
        <v>914</v>
      </c>
      <c r="J28" s="50">
        <v>0.0048828125</v>
      </c>
      <c r="K28" s="50">
        <v>0.0368945598602294</v>
      </c>
      <c r="L28" s="3">
        <f t="shared" si="1"/>
        <v>347.2830297</v>
      </c>
      <c r="M28" s="3"/>
      <c r="N28" s="3"/>
      <c r="O28" s="3"/>
      <c r="P28" s="3"/>
      <c r="Q28" s="3"/>
      <c r="R28" s="3"/>
      <c r="S28" s="3"/>
      <c r="T28" s="3"/>
      <c r="U28" s="3"/>
      <c r="V28" s="6"/>
    </row>
    <row r="29" ht="30.0" customHeight="1">
      <c r="A29" s="1">
        <v>25.0</v>
      </c>
      <c r="B29" s="24" t="s">
        <v>915</v>
      </c>
      <c r="C29" s="47" t="s">
        <v>916</v>
      </c>
      <c r="D29" s="48">
        <v>0.0117</v>
      </c>
      <c r="E29" s="48">
        <v>6.29398393630981</v>
      </c>
      <c r="F29" s="29" t="s">
        <v>917</v>
      </c>
      <c r="G29" s="28">
        <v>0.0117</v>
      </c>
      <c r="H29" s="28">
        <v>0.0835251808166503</v>
      </c>
      <c r="I29" s="49" t="s">
        <v>918</v>
      </c>
      <c r="J29" s="50">
        <v>0.01171875</v>
      </c>
      <c r="K29" s="50">
        <v>0.021925926208496</v>
      </c>
      <c r="L29" s="3">
        <f t="shared" si="1"/>
        <v>287.0566961</v>
      </c>
      <c r="M29" s="3"/>
      <c r="N29" s="3"/>
      <c r="O29" s="3"/>
      <c r="P29" s="3"/>
      <c r="Q29" s="3"/>
      <c r="R29" s="3"/>
      <c r="S29" s="3"/>
      <c r="T29" s="3"/>
      <c r="U29" s="3"/>
      <c r="V29" s="6"/>
    </row>
    <row r="30" ht="30.0" customHeight="1">
      <c r="A30" s="1">
        <v>26.0</v>
      </c>
      <c r="B30" s="35" t="s">
        <v>919</v>
      </c>
      <c r="C30" s="47" t="s">
        <v>920</v>
      </c>
      <c r="D30" s="48">
        <v>0.0156</v>
      </c>
      <c r="E30" s="48">
        <v>0.783952713012695</v>
      </c>
      <c r="F30" s="29" t="s">
        <v>921</v>
      </c>
      <c r="G30" s="28">
        <v>0.0156</v>
      </c>
      <c r="H30" s="28">
        <v>0.0486221313476562</v>
      </c>
      <c r="I30" s="49" t="s">
        <v>922</v>
      </c>
      <c r="J30" s="50">
        <v>0.015625</v>
      </c>
      <c r="K30" s="50">
        <v>0.00896692276000976</v>
      </c>
      <c r="L30" s="3">
        <f t="shared" si="1"/>
        <v>87.42717362</v>
      </c>
      <c r="M30" s="3"/>
      <c r="N30" s="3"/>
      <c r="O30" s="3"/>
      <c r="P30" s="3"/>
      <c r="Q30" s="3"/>
      <c r="R30" s="3"/>
      <c r="S30" s="3"/>
      <c r="T30" s="3"/>
      <c r="U30" s="3"/>
      <c r="V30" s="6"/>
    </row>
    <row r="31" ht="30.0" customHeight="1">
      <c r="A31" s="1">
        <v>27.0</v>
      </c>
      <c r="B31" s="35" t="s">
        <v>923</v>
      </c>
      <c r="C31" s="47" t="s">
        <v>924</v>
      </c>
      <c r="D31" s="48">
        <v>0.0039</v>
      </c>
      <c r="E31" s="48">
        <v>0.830916166305542</v>
      </c>
      <c r="F31" s="29" t="s">
        <v>925</v>
      </c>
      <c r="G31" s="28">
        <v>0.0039</v>
      </c>
      <c r="H31" s="28">
        <v>0.0454988479614257</v>
      </c>
      <c r="I31" s="49" t="s">
        <v>926</v>
      </c>
      <c r="J31" s="50">
        <v>0.00390625</v>
      </c>
      <c r="K31" s="50">
        <v>0.00896930694580078</v>
      </c>
      <c r="L31" s="3">
        <f t="shared" si="1"/>
        <v>92.63995215</v>
      </c>
      <c r="M31" s="3"/>
      <c r="N31" s="3"/>
      <c r="O31" s="3"/>
      <c r="P31" s="3"/>
      <c r="Q31" s="3"/>
      <c r="R31" s="3"/>
      <c r="S31" s="3"/>
      <c r="T31" s="3"/>
      <c r="U31" s="3"/>
      <c r="V31" s="6"/>
    </row>
    <row r="32" ht="30.0" customHeight="1">
      <c r="A32" s="1">
        <v>28.0</v>
      </c>
      <c r="B32" s="35" t="s">
        <v>927</v>
      </c>
      <c r="C32" s="47" t="s">
        <v>928</v>
      </c>
      <c r="D32" s="48">
        <v>0.0195</v>
      </c>
      <c r="E32" s="48">
        <v>3.36724472045898</v>
      </c>
      <c r="F32" s="29" t="s">
        <v>929</v>
      </c>
      <c r="G32" s="28">
        <v>0.0195</v>
      </c>
      <c r="H32" s="28">
        <v>0.0694899559020996</v>
      </c>
      <c r="I32" s="49" t="s">
        <v>930</v>
      </c>
      <c r="J32" s="50">
        <v>0.01953125</v>
      </c>
      <c r="K32" s="50">
        <v>0.0139436721801757</v>
      </c>
      <c r="L32" s="3">
        <f t="shared" si="1"/>
        <v>241.489091</v>
      </c>
      <c r="M32" s="3"/>
      <c r="N32" s="3"/>
      <c r="O32" s="3"/>
      <c r="P32" s="3"/>
      <c r="Q32" s="3"/>
      <c r="R32" s="3"/>
      <c r="S32" s="3"/>
      <c r="T32" s="3"/>
      <c r="U32" s="3"/>
      <c r="V32" s="6"/>
    </row>
    <row r="33" ht="30.0" customHeight="1">
      <c r="A33" s="1">
        <v>29.0</v>
      </c>
      <c r="B33" s="35" t="s">
        <v>931</v>
      </c>
      <c r="C33" s="47" t="s">
        <v>932</v>
      </c>
      <c r="D33" s="48">
        <v>0.4727</v>
      </c>
      <c r="E33" s="48">
        <v>2.94360733032226</v>
      </c>
      <c r="F33" s="29" t="s">
        <v>933</v>
      </c>
      <c r="G33" s="28">
        <v>0.4727</v>
      </c>
      <c r="H33" s="28">
        <v>0.0627021789550781</v>
      </c>
      <c r="I33" s="49" t="s">
        <v>934</v>
      </c>
      <c r="J33" s="50">
        <v>0.47265625</v>
      </c>
      <c r="K33" s="50">
        <v>0.064786672592163</v>
      </c>
      <c r="L33" s="3">
        <f t="shared" si="1"/>
        <v>45.43538374</v>
      </c>
      <c r="M33" s="3"/>
      <c r="N33" s="3"/>
      <c r="O33" s="3"/>
      <c r="P33" s="3"/>
      <c r="Q33" s="3"/>
      <c r="R33" s="3"/>
      <c r="S33" s="3"/>
      <c r="T33" s="3"/>
      <c r="U33" s="3"/>
      <c r="V33" s="6"/>
    </row>
    <row r="34" ht="30.0" customHeight="1">
      <c r="A34" s="1">
        <v>30.0</v>
      </c>
      <c r="B34" s="35" t="s">
        <v>935</v>
      </c>
      <c r="C34" s="47" t="s">
        <v>936</v>
      </c>
      <c r="D34" s="48">
        <v>0.0049</v>
      </c>
      <c r="E34" s="48">
        <v>1.4846966266632</v>
      </c>
      <c r="F34" s="29" t="s">
        <v>937</v>
      </c>
      <c r="G34" s="28">
        <v>0.0049</v>
      </c>
      <c r="H34" s="28">
        <v>0.0576300621032714</v>
      </c>
      <c r="I34" s="49" t="s">
        <v>938</v>
      </c>
      <c r="J34" s="50">
        <v>0.0048828125</v>
      </c>
      <c r="K34" s="50">
        <v>0.0388920307159423</v>
      </c>
      <c r="L34" s="3">
        <f t="shared" si="1"/>
        <v>38.17482912</v>
      </c>
      <c r="M34" s="3"/>
      <c r="N34" s="3"/>
      <c r="O34" s="3"/>
      <c r="P34" s="3"/>
      <c r="Q34" s="3"/>
      <c r="R34" s="3"/>
      <c r="S34" s="3"/>
      <c r="T34" s="3"/>
      <c r="U34" s="3"/>
      <c r="V34" s="6"/>
    </row>
    <row r="35" ht="30.0" customHeight="1">
      <c r="A35" s="1">
        <v>31.0</v>
      </c>
      <c r="B35" s="35" t="s">
        <v>939</v>
      </c>
      <c r="C35" s="47" t="s">
        <v>940</v>
      </c>
      <c r="D35" s="48">
        <v>0.0049</v>
      </c>
      <c r="E35" s="48">
        <v>1.65171003341674</v>
      </c>
      <c r="F35" s="29" t="s">
        <v>941</v>
      </c>
      <c r="G35" s="28">
        <v>0.0049</v>
      </c>
      <c r="H35" s="28">
        <v>0.0544371604919433</v>
      </c>
      <c r="I35" s="49" t="s">
        <v>942</v>
      </c>
      <c r="J35" s="50">
        <v>0.0048828125</v>
      </c>
      <c r="K35" s="50">
        <v>0.0363061428070068</v>
      </c>
      <c r="L35" s="3">
        <f t="shared" si="1"/>
        <v>45.49395517</v>
      </c>
      <c r="M35" s="3"/>
      <c r="N35" s="3"/>
      <c r="O35" s="3"/>
      <c r="P35" s="3"/>
      <c r="Q35" s="3"/>
      <c r="R35" s="3"/>
      <c r="S35" s="3"/>
      <c r="T35" s="3"/>
      <c r="U35" s="3"/>
      <c r="V35" s="6"/>
    </row>
    <row r="36" ht="30.0" customHeight="1">
      <c r="A36" s="1">
        <v>32.0</v>
      </c>
      <c r="B36" s="35" t="s">
        <v>943</v>
      </c>
      <c r="C36" s="47" t="s">
        <v>944</v>
      </c>
      <c r="D36" s="48">
        <v>0.0195</v>
      </c>
      <c r="E36" s="48">
        <v>0.730927944183349</v>
      </c>
      <c r="F36" s="29" t="s">
        <v>945</v>
      </c>
      <c r="G36" s="28">
        <v>0.0195</v>
      </c>
      <c r="H36" s="28">
        <v>0.0405194759368896</v>
      </c>
      <c r="I36" s="49" t="s">
        <v>946</v>
      </c>
      <c r="J36" s="50">
        <v>0.01953125</v>
      </c>
      <c r="K36" s="50">
        <v>0.022923469543457</v>
      </c>
      <c r="L36" s="3">
        <f t="shared" si="1"/>
        <v>31.88557224</v>
      </c>
      <c r="M36" s="3"/>
      <c r="N36" s="3"/>
      <c r="O36" s="3"/>
      <c r="P36" s="3"/>
      <c r="Q36" s="3"/>
      <c r="R36" s="3"/>
      <c r="S36" s="3"/>
      <c r="T36" s="3"/>
      <c r="U36" s="3"/>
      <c r="V36" s="6"/>
    </row>
    <row r="37" ht="30.0" customHeight="1">
      <c r="A37" s="1">
        <v>33.0</v>
      </c>
      <c r="B37" s="35" t="s">
        <v>947</v>
      </c>
      <c r="C37" s="47" t="s">
        <v>948</v>
      </c>
      <c r="D37" s="48">
        <v>0.0156</v>
      </c>
      <c r="E37" s="48">
        <v>0.104493856430053</v>
      </c>
      <c r="F37" s="29" t="s">
        <v>949</v>
      </c>
      <c r="G37" s="28">
        <v>0.0156</v>
      </c>
      <c r="H37" s="28">
        <v>0.023050308227539</v>
      </c>
      <c r="I37" s="49" t="s">
        <v>950</v>
      </c>
      <c r="J37" s="50">
        <v>0.015625</v>
      </c>
      <c r="K37" s="50">
        <v>0.00698542594909668</v>
      </c>
      <c r="L37" s="3">
        <f t="shared" si="1"/>
        <v>14.95883819</v>
      </c>
      <c r="M37" s="3"/>
      <c r="N37" s="3"/>
      <c r="O37" s="3"/>
      <c r="P37" s="3"/>
      <c r="Q37" s="3"/>
      <c r="R37" s="3"/>
      <c r="S37" s="3"/>
      <c r="T37" s="3"/>
      <c r="U37" s="3"/>
      <c r="V37" s="6"/>
    </row>
    <row r="38" ht="30.0" customHeight="1">
      <c r="A38" s="1">
        <v>34.0</v>
      </c>
      <c r="B38" s="35" t="s">
        <v>951</v>
      </c>
      <c r="C38" s="47" t="s">
        <v>952</v>
      </c>
      <c r="D38" s="48">
        <v>0.0039</v>
      </c>
      <c r="E38" s="48">
        <v>0.10424518585205</v>
      </c>
      <c r="F38" s="29" t="s">
        <v>953</v>
      </c>
      <c r="G38" s="28">
        <v>0.0039</v>
      </c>
      <c r="H38" s="28">
        <v>0.0230422019958496</v>
      </c>
      <c r="I38" s="49" t="s">
        <v>954</v>
      </c>
      <c r="J38" s="50">
        <v>0.00390625</v>
      </c>
      <c r="K38" s="50">
        <v>0.00398778915405273</v>
      </c>
      <c r="L38" s="3">
        <f t="shared" si="1"/>
        <v>26.14109769</v>
      </c>
      <c r="M38" s="3"/>
      <c r="N38" s="3"/>
      <c r="O38" s="3"/>
      <c r="P38" s="3"/>
      <c r="Q38" s="3"/>
      <c r="R38" s="3"/>
      <c r="S38" s="3"/>
      <c r="T38" s="3"/>
      <c r="U38" s="3"/>
      <c r="V38" s="6"/>
    </row>
    <row r="39" ht="30.0" customHeight="1">
      <c r="A39" s="1">
        <v>35.0</v>
      </c>
      <c r="B39" s="35" t="s">
        <v>955</v>
      </c>
      <c r="C39" s="47" t="s">
        <v>956</v>
      </c>
      <c r="D39" s="48">
        <v>0.0195</v>
      </c>
      <c r="E39" s="48">
        <v>0.375546216964721</v>
      </c>
      <c r="F39" s="29" t="s">
        <v>957</v>
      </c>
      <c r="G39" s="28">
        <v>0.0195</v>
      </c>
      <c r="H39" s="28">
        <v>0.0359418392181396</v>
      </c>
      <c r="I39" s="49" t="s">
        <v>958</v>
      </c>
      <c r="J39" s="50">
        <v>0.01953125</v>
      </c>
      <c r="K39" s="50">
        <v>0.00898170471191406</v>
      </c>
      <c r="L39" s="3">
        <f t="shared" si="1"/>
        <v>41.812354</v>
      </c>
      <c r="M39" s="3"/>
      <c r="N39" s="3"/>
      <c r="O39" s="3"/>
      <c r="P39" s="3"/>
      <c r="Q39" s="3"/>
      <c r="R39" s="3"/>
      <c r="S39" s="3"/>
      <c r="T39" s="3"/>
      <c r="U39" s="3"/>
      <c r="V39" s="6"/>
    </row>
    <row r="40" ht="30.0" customHeight="1">
      <c r="A40" s="1">
        <v>36.0</v>
      </c>
      <c r="B40" s="35" t="s">
        <v>959</v>
      </c>
      <c r="C40" s="47" t="s">
        <v>960</v>
      </c>
      <c r="D40" s="48">
        <v>0.4844</v>
      </c>
      <c r="E40" s="48">
        <v>3.01239442825317</v>
      </c>
      <c r="F40" s="29" t="s">
        <v>961</v>
      </c>
      <c r="G40" s="28">
        <v>0.4844</v>
      </c>
      <c r="H40" s="28">
        <v>0.0681824684143066</v>
      </c>
      <c r="I40" s="49" t="s">
        <v>962</v>
      </c>
      <c r="J40" s="50">
        <v>0.484375</v>
      </c>
      <c r="K40" s="50">
        <v>0.0647733211517334</v>
      </c>
      <c r="L40" s="3">
        <f t="shared" si="1"/>
        <v>46.50671565</v>
      </c>
      <c r="M40" s="3"/>
      <c r="N40" s="3"/>
      <c r="O40" s="3"/>
      <c r="P40" s="3"/>
      <c r="Q40" s="3"/>
      <c r="R40" s="3"/>
      <c r="S40" s="3"/>
      <c r="T40" s="3"/>
      <c r="U40" s="3"/>
      <c r="V40" s="6"/>
    </row>
    <row r="41" ht="30.0" customHeight="1">
      <c r="A41" s="1">
        <v>37.0</v>
      </c>
      <c r="B41" s="35" t="s">
        <v>963</v>
      </c>
      <c r="C41" s="47" t="s">
        <v>964</v>
      </c>
      <c r="D41" s="48">
        <v>0.0059</v>
      </c>
      <c r="E41" s="48">
        <v>1.46130919456481</v>
      </c>
      <c r="F41" s="29" t="s">
        <v>965</v>
      </c>
      <c r="G41" s="28">
        <v>0.0059</v>
      </c>
      <c r="H41" s="28">
        <v>0.0656979084014892</v>
      </c>
      <c r="I41" s="49" t="s">
        <v>966</v>
      </c>
      <c r="J41" s="50">
        <v>0.005859375</v>
      </c>
      <c r="K41" s="50">
        <v>0.0308976173400878</v>
      </c>
      <c r="L41" s="3">
        <f t="shared" si="1"/>
        <v>47.29520657</v>
      </c>
      <c r="M41" s="3"/>
      <c r="N41" s="3"/>
      <c r="O41" s="3"/>
      <c r="P41" s="3"/>
      <c r="Q41" s="3"/>
      <c r="R41" s="3"/>
      <c r="S41" s="3"/>
      <c r="T41" s="3"/>
      <c r="U41" s="3"/>
      <c r="V41" s="6"/>
    </row>
    <row r="42" ht="30.0" customHeight="1">
      <c r="A42" s="1">
        <v>38.0</v>
      </c>
      <c r="B42" s="35" t="s">
        <v>967</v>
      </c>
      <c r="C42" s="47" t="s">
        <v>968</v>
      </c>
      <c r="D42" s="48">
        <v>0.0068</v>
      </c>
      <c r="E42" s="48">
        <v>1.446533203125</v>
      </c>
      <c r="F42" s="29" t="s">
        <v>969</v>
      </c>
      <c r="G42" s="28">
        <v>0.0068</v>
      </c>
      <c r="H42" s="28">
        <v>0.0525877475738525</v>
      </c>
      <c r="I42" s="49" t="s">
        <v>970</v>
      </c>
      <c r="J42" s="50">
        <v>0.0068359375</v>
      </c>
      <c r="K42" s="50">
        <v>0.0319080352783203</v>
      </c>
      <c r="L42" s="3">
        <f t="shared" si="1"/>
        <v>45.33444916</v>
      </c>
      <c r="M42" s="3"/>
      <c r="N42" s="3"/>
      <c r="O42" s="3"/>
      <c r="P42" s="3"/>
      <c r="Q42" s="3"/>
      <c r="R42" s="3"/>
      <c r="S42" s="3"/>
      <c r="T42" s="3"/>
      <c r="U42" s="3"/>
      <c r="V42" s="6"/>
    </row>
    <row r="43" ht="30.0" customHeight="1">
      <c r="A43" s="1">
        <v>39.0</v>
      </c>
      <c r="B43" s="35" t="s">
        <v>971</v>
      </c>
      <c r="C43" s="47" t="s">
        <v>972</v>
      </c>
      <c r="D43" s="48">
        <v>0.0117</v>
      </c>
      <c r="E43" s="48">
        <v>0.731690883636474</v>
      </c>
      <c r="F43" s="29" t="s">
        <v>973</v>
      </c>
      <c r="G43" s="28">
        <v>0.0117</v>
      </c>
      <c r="H43" s="28">
        <v>0.0427093505859375</v>
      </c>
      <c r="I43" s="49" t="s">
        <v>974</v>
      </c>
      <c r="J43" s="50">
        <v>0.01171875</v>
      </c>
      <c r="K43" s="50">
        <v>0.0169365406036376</v>
      </c>
      <c r="L43" s="3">
        <f t="shared" si="1"/>
        <v>43.20190886</v>
      </c>
      <c r="M43" s="3"/>
      <c r="N43" s="3"/>
      <c r="O43" s="3"/>
      <c r="P43" s="3"/>
      <c r="Q43" s="3"/>
      <c r="R43" s="3"/>
      <c r="S43" s="3"/>
      <c r="T43" s="3"/>
      <c r="U43" s="3"/>
      <c r="V43" s="6"/>
    </row>
    <row r="44" ht="30.0" customHeight="1">
      <c r="A44" s="1">
        <v>40.0</v>
      </c>
      <c r="B44" s="35" t="s">
        <v>975</v>
      </c>
      <c r="C44" s="47" t="s">
        <v>976</v>
      </c>
      <c r="D44" s="48">
        <v>0.0244</v>
      </c>
      <c r="E44" s="48">
        <v>0.103160142898559</v>
      </c>
      <c r="F44" s="29" t="s">
        <v>977</v>
      </c>
      <c r="G44" s="28">
        <v>0.0244</v>
      </c>
      <c r="H44" s="28">
        <v>0.0243227481842041</v>
      </c>
      <c r="I44" s="49" t="s">
        <v>978</v>
      </c>
      <c r="J44" s="50">
        <v>0.024414062</v>
      </c>
      <c r="K44" s="50">
        <v>0.00498366355895996</v>
      </c>
      <c r="L44" s="3">
        <f t="shared" si="1"/>
        <v>20.69966034</v>
      </c>
      <c r="M44" s="3"/>
      <c r="N44" s="3"/>
      <c r="O44" s="3"/>
      <c r="P44" s="3"/>
      <c r="Q44" s="3"/>
      <c r="R44" s="3"/>
      <c r="S44" s="3"/>
      <c r="T44" s="3"/>
      <c r="U44" s="3"/>
      <c r="V44" s="6"/>
    </row>
    <row r="45" ht="30.0" customHeight="1">
      <c r="A45" s="1">
        <v>41.0</v>
      </c>
      <c r="B45" s="35" t="s">
        <v>979</v>
      </c>
      <c r="C45" s="47" t="s">
        <v>980</v>
      </c>
      <c r="D45" s="48">
        <v>0.0244</v>
      </c>
      <c r="E45" s="48">
        <v>0.105038881301879</v>
      </c>
      <c r="F45" s="29" t="s">
        <v>981</v>
      </c>
      <c r="G45" s="28">
        <v>0.0244</v>
      </c>
      <c r="H45" s="28">
        <v>0.023505687713623</v>
      </c>
      <c r="I45" s="49" t="s">
        <v>982</v>
      </c>
      <c r="J45" s="50">
        <v>0.024414062</v>
      </c>
      <c r="K45" s="50">
        <v>0.00397610664367675</v>
      </c>
      <c r="L45" s="3">
        <f t="shared" si="1"/>
        <v>26.41752114</v>
      </c>
      <c r="M45" s="3"/>
      <c r="N45" s="3"/>
      <c r="O45" s="3"/>
      <c r="P45" s="3"/>
      <c r="Q45" s="3"/>
      <c r="R45" s="3"/>
      <c r="S45" s="3"/>
      <c r="T45" s="3"/>
      <c r="U45" s="3"/>
      <c r="V45" s="6"/>
    </row>
    <row r="46" ht="30.0" customHeight="1">
      <c r="A46" s="1">
        <v>42.0</v>
      </c>
      <c r="B46" s="35" t="s">
        <v>983</v>
      </c>
      <c r="C46" s="47" t="s">
        <v>984</v>
      </c>
      <c r="D46" s="48">
        <v>0.0059</v>
      </c>
      <c r="E46" s="48">
        <v>0.372011184692382</v>
      </c>
      <c r="F46" s="29" t="s">
        <v>985</v>
      </c>
      <c r="G46" s="28">
        <v>0.0059</v>
      </c>
      <c r="H46" s="28">
        <v>0.0350754261016845</v>
      </c>
      <c r="I46" s="49" t="s">
        <v>986</v>
      </c>
      <c r="J46" s="50">
        <v>0.005859375</v>
      </c>
      <c r="K46" s="50">
        <v>0.00996065139770507</v>
      </c>
      <c r="L46" s="3">
        <f t="shared" si="1"/>
        <v>37.34807794</v>
      </c>
      <c r="M46" s="3"/>
      <c r="N46" s="3"/>
      <c r="O46" s="3"/>
      <c r="P46" s="3"/>
      <c r="Q46" s="3"/>
      <c r="R46" s="3"/>
      <c r="S46" s="3"/>
      <c r="T46" s="3"/>
      <c r="U46" s="3"/>
      <c r="V46" s="6"/>
    </row>
    <row r="47" ht="30.0" customHeight="1">
      <c r="A47" s="1">
        <v>43.0</v>
      </c>
      <c r="B47" s="35" t="s">
        <v>987</v>
      </c>
      <c r="C47" s="47" t="s">
        <v>988</v>
      </c>
      <c r="D47" s="48">
        <v>0.4805</v>
      </c>
      <c r="E47" s="48">
        <v>12.2697215080261</v>
      </c>
      <c r="F47" s="29" t="s">
        <v>989</v>
      </c>
      <c r="G47" s="28">
        <v>0.4805</v>
      </c>
      <c r="H47" s="28">
        <v>0.124607324600219</v>
      </c>
      <c r="I47" s="49" t="s">
        <v>990</v>
      </c>
      <c r="J47" s="50">
        <v>0.48046875</v>
      </c>
      <c r="K47" s="50">
        <v>0.07774019241333</v>
      </c>
      <c r="L47" s="3">
        <f t="shared" si="1"/>
        <v>157.829832</v>
      </c>
      <c r="M47" s="3"/>
      <c r="N47" s="3"/>
      <c r="O47" s="3"/>
      <c r="P47" s="3"/>
      <c r="Q47" s="3"/>
      <c r="R47" s="3"/>
      <c r="S47" s="3"/>
      <c r="T47" s="3"/>
      <c r="U47" s="3"/>
      <c r="V47" s="6"/>
    </row>
    <row r="48" ht="30.0" customHeight="1">
      <c r="A48" s="1">
        <v>44.0</v>
      </c>
      <c r="B48" s="35" t="s">
        <v>991</v>
      </c>
      <c r="C48" s="47" t="s">
        <v>992</v>
      </c>
      <c r="D48" s="48">
        <v>0.0049</v>
      </c>
      <c r="E48" s="48">
        <v>6.03278255462646</v>
      </c>
      <c r="F48" s="29" t="s">
        <v>993</v>
      </c>
      <c r="G48" s="28">
        <v>0.0049</v>
      </c>
      <c r="H48" s="28">
        <v>0.0821518898010253</v>
      </c>
      <c r="I48" s="49" t="s">
        <v>994</v>
      </c>
      <c r="J48" s="50">
        <v>0.0048828125</v>
      </c>
      <c r="K48" s="50">
        <v>0.0418598651885986</v>
      </c>
      <c r="L48" s="3">
        <f t="shared" si="1"/>
        <v>144.1185376</v>
      </c>
      <c r="M48" s="3"/>
      <c r="N48" s="3"/>
      <c r="O48" s="3"/>
      <c r="P48" s="3"/>
      <c r="Q48" s="3"/>
      <c r="R48" s="3"/>
      <c r="S48" s="3"/>
      <c r="T48" s="3"/>
      <c r="U48" s="3"/>
      <c r="V48" s="6"/>
    </row>
    <row r="49" ht="30.0" customHeight="1">
      <c r="A49" s="1">
        <v>45.0</v>
      </c>
      <c r="B49" s="35" t="s">
        <v>995</v>
      </c>
      <c r="C49" s="47" t="s">
        <v>996</v>
      </c>
      <c r="D49" s="48">
        <v>0.0049</v>
      </c>
      <c r="E49" s="48">
        <v>6.03163480758667</v>
      </c>
      <c r="F49" s="29" t="s">
        <v>997</v>
      </c>
      <c r="G49" s="28">
        <v>0.0049</v>
      </c>
      <c r="H49" s="28">
        <v>0.090198278427124</v>
      </c>
      <c r="I49" s="49" t="s">
        <v>998</v>
      </c>
      <c r="J49" s="50">
        <v>0.0048828125</v>
      </c>
      <c r="K49" s="50">
        <v>0.0398535728454589</v>
      </c>
      <c r="L49" s="3">
        <f t="shared" si="1"/>
        <v>151.3448952</v>
      </c>
      <c r="M49" s="3"/>
      <c r="N49" s="3"/>
      <c r="O49" s="3"/>
      <c r="P49" s="3"/>
      <c r="Q49" s="3"/>
      <c r="R49" s="3"/>
      <c r="S49" s="3"/>
      <c r="T49" s="3"/>
      <c r="U49" s="3"/>
      <c r="V49" s="6"/>
    </row>
    <row r="50" ht="30.0" customHeight="1">
      <c r="A50" s="1">
        <v>46.0</v>
      </c>
      <c r="B50" s="35" t="s">
        <v>999</v>
      </c>
      <c r="C50" s="47" t="s">
        <v>1000</v>
      </c>
      <c r="D50" s="48">
        <v>0.0117</v>
      </c>
      <c r="E50" s="48">
        <v>3.03961610794067</v>
      </c>
      <c r="F50" s="29" t="s">
        <v>1001</v>
      </c>
      <c r="G50" s="28">
        <v>0.0117</v>
      </c>
      <c r="H50" s="28">
        <v>0.0646779537200927</v>
      </c>
      <c r="I50" s="49" t="s">
        <v>1002</v>
      </c>
      <c r="J50" s="50">
        <v>0.01171875</v>
      </c>
      <c r="K50" s="50">
        <v>0.0219266414642334</v>
      </c>
      <c r="L50" s="3">
        <f t="shared" si="1"/>
        <v>138.6266161</v>
      </c>
      <c r="M50" s="3"/>
      <c r="N50" s="3"/>
      <c r="O50" s="3"/>
      <c r="P50" s="3"/>
      <c r="Q50" s="3"/>
      <c r="R50" s="3"/>
      <c r="S50" s="3"/>
      <c r="T50" s="3"/>
      <c r="U50" s="3"/>
      <c r="V50" s="6"/>
    </row>
    <row r="51" ht="30.0" customHeight="1">
      <c r="A51" s="1">
        <v>47.0</v>
      </c>
      <c r="B51" s="35" t="s">
        <v>1003</v>
      </c>
      <c r="C51" s="47" t="s">
        <v>1004</v>
      </c>
      <c r="D51" s="48">
        <v>0.0156</v>
      </c>
      <c r="E51" s="48">
        <v>0.38124680519104</v>
      </c>
      <c r="F51" s="29" t="s">
        <v>1005</v>
      </c>
      <c r="G51" s="28">
        <v>0.0156</v>
      </c>
      <c r="H51" s="28">
        <v>0.0426187515258789</v>
      </c>
      <c r="I51" s="49" t="s">
        <v>1006</v>
      </c>
      <c r="J51" s="50">
        <v>0.015625</v>
      </c>
      <c r="K51" s="50">
        <v>0.0109634399414062</v>
      </c>
      <c r="L51" s="3">
        <f t="shared" si="1"/>
        <v>34.77437804</v>
      </c>
      <c r="M51" s="3"/>
      <c r="N51" s="3"/>
      <c r="O51" s="3"/>
      <c r="P51" s="3"/>
      <c r="Q51" s="3"/>
      <c r="R51" s="3"/>
      <c r="S51" s="3"/>
      <c r="T51" s="3"/>
      <c r="U51" s="3"/>
      <c r="V51" s="6"/>
    </row>
    <row r="52" ht="30.0" customHeight="1">
      <c r="A52" s="1">
        <v>48.0</v>
      </c>
      <c r="B52" s="35" t="s">
        <v>1007</v>
      </c>
      <c r="C52" s="47" t="s">
        <v>1008</v>
      </c>
      <c r="D52" s="48">
        <v>0.0195</v>
      </c>
      <c r="E52" s="48">
        <v>0.38419771194458</v>
      </c>
      <c r="F52" s="29" t="s">
        <v>1009</v>
      </c>
      <c r="G52" s="28">
        <v>0.0195</v>
      </c>
      <c r="H52" s="28">
        <v>0.0375392436981201</v>
      </c>
      <c r="I52" s="49" t="s">
        <v>1010</v>
      </c>
      <c r="J52" s="50">
        <v>0.01953125</v>
      </c>
      <c r="K52" s="50">
        <v>0.00698471069335937</v>
      </c>
      <c r="L52" s="3">
        <f t="shared" si="1"/>
        <v>55.00552977</v>
      </c>
      <c r="M52" s="3"/>
      <c r="N52" s="3"/>
      <c r="O52" s="3"/>
      <c r="P52" s="3"/>
      <c r="Q52" s="3"/>
      <c r="R52" s="3"/>
      <c r="S52" s="3"/>
      <c r="T52" s="3"/>
      <c r="U52" s="3"/>
      <c r="V52" s="6"/>
    </row>
    <row r="53" ht="30.0" customHeight="1">
      <c r="A53" s="1">
        <v>49.0</v>
      </c>
      <c r="B53" s="35" t="s">
        <v>1011</v>
      </c>
      <c r="C53" s="47" t="s">
        <v>1012</v>
      </c>
      <c r="D53" s="48">
        <v>0.0059</v>
      </c>
      <c r="E53" s="48">
        <v>1.50035214424133</v>
      </c>
      <c r="F53" s="29" t="s">
        <v>1013</v>
      </c>
      <c r="G53" s="28">
        <v>0.0059</v>
      </c>
      <c r="H53" s="28">
        <v>0.0557436943054199</v>
      </c>
      <c r="I53" s="49" t="s">
        <v>1014</v>
      </c>
      <c r="J53" s="50">
        <v>0.005859375</v>
      </c>
      <c r="K53" s="50">
        <v>0.0119805335998535</v>
      </c>
      <c r="L53" s="3">
        <f t="shared" si="1"/>
        <v>125.2324975</v>
      </c>
      <c r="M53" s="3"/>
      <c r="N53" s="3"/>
      <c r="O53" s="3"/>
      <c r="P53" s="3"/>
      <c r="Q53" s="3"/>
      <c r="R53" s="3"/>
      <c r="S53" s="3"/>
      <c r="T53" s="3"/>
      <c r="U53" s="3"/>
      <c r="V53" s="6"/>
    </row>
    <row r="54" ht="30.0" customHeight="1">
      <c r="A54" s="1">
        <v>50.0</v>
      </c>
      <c r="B54" s="35" t="s">
        <v>1015</v>
      </c>
      <c r="C54" s="47" t="s">
        <v>1016</v>
      </c>
      <c r="D54" s="48">
        <v>0.0049</v>
      </c>
      <c r="E54" s="48">
        <v>6.17316102981567</v>
      </c>
      <c r="F54" s="29" t="s">
        <v>1017</v>
      </c>
      <c r="G54" s="28">
        <v>0.0049</v>
      </c>
      <c r="H54" s="28">
        <v>0.0837061405181884</v>
      </c>
      <c r="I54" s="49" t="s">
        <v>1018</v>
      </c>
      <c r="J54" s="50">
        <v>0.0048828125</v>
      </c>
      <c r="K54" s="50">
        <v>0.0358803272247314</v>
      </c>
      <c r="L54" s="3">
        <f t="shared" si="1"/>
        <v>172.0486268</v>
      </c>
      <c r="M54" s="3"/>
      <c r="N54" s="3"/>
      <c r="O54" s="3"/>
      <c r="P54" s="3"/>
      <c r="Q54" s="3"/>
      <c r="R54" s="3"/>
      <c r="S54" s="3"/>
      <c r="T54" s="3"/>
      <c r="U54" s="3"/>
      <c r="V54" s="6"/>
    </row>
    <row r="55" ht="15.75" customHeight="1">
      <c r="A55" s="36"/>
      <c r="C55" s="35"/>
      <c r="D55" s="37">
        <f t="shared" ref="D55:E55" si="2">AVERAGE(D5:D54)</f>
        <v>0.07516</v>
      </c>
      <c r="E55" s="37">
        <f t="shared" si="2"/>
        <v>13.12908738</v>
      </c>
      <c r="F55" s="2"/>
      <c r="G55" s="2"/>
      <c r="H55" s="38">
        <f>SUM(H5:H54)</f>
        <v>4.278312683</v>
      </c>
      <c r="I55" s="3"/>
      <c r="J55" s="3"/>
      <c r="K55" s="49">
        <f>SUM(K5:K54)</f>
        <v>1.499959946</v>
      </c>
      <c r="L55" s="3">
        <f>AVERAGE(L5:L54)</f>
        <v>326.8251239</v>
      </c>
      <c r="M55" s="3"/>
      <c r="N55" s="3"/>
      <c r="O55" s="3"/>
      <c r="P55" s="3"/>
      <c r="Q55" s="3"/>
      <c r="R55" s="3"/>
      <c r="S55" s="3"/>
      <c r="T55" s="3"/>
      <c r="U55" s="3"/>
      <c r="V55" s="6"/>
    </row>
    <row r="56" ht="15.75" customHeight="1">
      <c r="A56" s="36"/>
      <c r="B56" s="35"/>
      <c r="C56" s="35"/>
      <c r="D56" s="2"/>
      <c r="E56" s="39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6"/>
    </row>
    <row r="57" ht="15.75" customHeight="1">
      <c r="A57" s="36"/>
      <c r="C57" s="35"/>
      <c r="D57" s="2"/>
      <c r="E57" s="39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6"/>
    </row>
    <row r="58" ht="15.75" customHeight="1">
      <c r="A58" s="36"/>
      <c r="C58" s="35"/>
      <c r="D58" s="2"/>
      <c r="E58" s="39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6"/>
    </row>
    <row r="59" ht="15.75" customHeight="1">
      <c r="A59" s="36"/>
      <c r="C59" s="35"/>
      <c r="D59" s="2"/>
      <c r="E59" s="39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6"/>
    </row>
    <row r="60" ht="15.75" customHeight="1">
      <c r="A60" s="36"/>
      <c r="C60" s="35"/>
      <c r="D60" s="2"/>
      <c r="E60" s="39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6"/>
    </row>
    <row r="61" ht="15.75" customHeight="1">
      <c r="A61" s="36"/>
      <c r="C61" s="35"/>
      <c r="D61" s="2"/>
      <c r="E61" s="39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6"/>
    </row>
    <row r="62" ht="15.75" customHeight="1">
      <c r="A62" s="36"/>
      <c r="C62" s="35"/>
      <c r="D62" s="2"/>
      <c r="E62" s="39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6"/>
    </row>
    <row r="63" ht="15.75" customHeight="1">
      <c r="A63" s="36"/>
      <c r="C63" s="35"/>
      <c r="D63" s="2"/>
      <c r="E63" s="39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6"/>
    </row>
    <row r="64" ht="15.75" customHeight="1">
      <c r="A64" s="36"/>
      <c r="C64" s="35"/>
      <c r="D64" s="2"/>
      <c r="E64" s="39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6"/>
    </row>
    <row r="65" ht="15.75" customHeight="1">
      <c r="A65" s="36"/>
      <c r="C65" s="35"/>
      <c r="D65" s="2"/>
      <c r="E65" s="39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6"/>
    </row>
    <row r="66" ht="15.75" customHeight="1">
      <c r="A66" s="36"/>
      <c r="C66" s="35"/>
      <c r="D66" s="2"/>
      <c r="E66" s="39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6"/>
    </row>
    <row r="67" ht="15.75" customHeight="1">
      <c r="A67" s="36"/>
      <c r="C67" s="35"/>
      <c r="D67" s="2"/>
      <c r="E67" s="39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6"/>
    </row>
    <row r="68" ht="15.75" customHeight="1">
      <c r="A68" s="36"/>
      <c r="C68" s="35"/>
      <c r="D68" s="2"/>
      <c r="E68" s="39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6"/>
    </row>
    <row r="69" ht="15.75" customHeight="1">
      <c r="A69" s="36"/>
      <c r="C69" s="35"/>
      <c r="D69" s="2"/>
      <c r="E69" s="39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6"/>
    </row>
    <row r="70" ht="15.75" customHeight="1">
      <c r="A70" s="36"/>
      <c r="C70" s="35"/>
      <c r="D70" s="2"/>
      <c r="E70" s="39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6"/>
    </row>
    <row r="71" ht="15.75" customHeight="1">
      <c r="A71" s="36"/>
      <c r="C71" s="35"/>
      <c r="D71" s="2"/>
      <c r="E71" s="39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6"/>
    </row>
    <row r="72" ht="15.75" customHeight="1">
      <c r="A72" s="36"/>
      <c r="C72" s="35"/>
      <c r="D72" s="2"/>
      <c r="E72" s="39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6"/>
    </row>
    <row r="73" ht="15.75" customHeight="1">
      <c r="A73" s="36"/>
      <c r="C73" s="35"/>
      <c r="D73" s="2"/>
      <c r="E73" s="39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"/>
    </row>
    <row r="74" ht="15.75" customHeight="1">
      <c r="A74" s="36"/>
      <c r="C74" s="35"/>
      <c r="D74" s="2"/>
      <c r="E74" s="39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6"/>
    </row>
    <row r="75" ht="15.75" customHeight="1">
      <c r="A75" s="36"/>
      <c r="C75" s="35"/>
      <c r="D75" s="2"/>
      <c r="E75" s="39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6"/>
    </row>
    <row r="76" ht="15.75" customHeight="1">
      <c r="A76" s="36"/>
      <c r="C76" s="35"/>
      <c r="D76" s="2"/>
      <c r="E76" s="39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6"/>
    </row>
    <row r="77" ht="15.75" customHeight="1">
      <c r="A77" s="36"/>
      <c r="C77" s="35"/>
      <c r="D77" s="2"/>
      <c r="E77" s="39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6"/>
    </row>
    <row r="78" ht="15.75" customHeight="1">
      <c r="A78" s="36"/>
      <c r="C78" s="35"/>
      <c r="D78" s="2"/>
      <c r="E78" s="39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6"/>
    </row>
    <row r="79" ht="15.75" customHeight="1">
      <c r="A79" s="36"/>
      <c r="C79" s="35"/>
      <c r="D79" s="2"/>
      <c r="E79" s="39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6"/>
    </row>
    <row r="80" ht="15.75" customHeight="1">
      <c r="A80" s="36"/>
      <c r="C80" s="35"/>
      <c r="D80" s="2"/>
      <c r="E80" s="39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6"/>
    </row>
    <row r="81" ht="15.75" customHeight="1">
      <c r="A81" s="36"/>
      <c r="C81" s="35"/>
      <c r="D81" s="2"/>
      <c r="E81" s="39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6"/>
    </row>
    <row r="82" ht="15.75" customHeight="1">
      <c r="A82" s="36"/>
      <c r="C82" s="35"/>
      <c r="D82" s="2"/>
      <c r="E82" s="39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6"/>
    </row>
    <row r="83" ht="15.75" customHeight="1">
      <c r="A83" s="36"/>
      <c r="C83" s="35"/>
      <c r="D83" s="2"/>
      <c r="E83" s="39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6"/>
    </row>
    <row r="84" ht="15.75" customHeight="1">
      <c r="A84" s="36"/>
      <c r="C84" s="35"/>
      <c r="D84" s="2"/>
      <c r="E84" s="39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6"/>
    </row>
    <row r="85" ht="15.75" customHeight="1">
      <c r="A85" s="36"/>
      <c r="C85" s="35"/>
      <c r="D85" s="2"/>
      <c r="E85" s="39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6"/>
    </row>
    <row r="86" ht="15.75" customHeight="1">
      <c r="A86" s="36"/>
      <c r="C86" s="35"/>
      <c r="D86" s="2"/>
      <c r="E86" s="39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6"/>
    </row>
    <row r="87" ht="15.75" customHeight="1">
      <c r="A87" s="36"/>
      <c r="C87" s="35"/>
      <c r="D87" s="2"/>
      <c r="E87" s="39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6"/>
    </row>
    <row r="88" ht="15.75" customHeight="1">
      <c r="A88" s="36"/>
      <c r="C88" s="35"/>
      <c r="D88" s="2"/>
      <c r="E88" s="39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6"/>
    </row>
    <row r="89" ht="15.75" customHeight="1">
      <c r="A89" s="36"/>
      <c r="C89" s="35"/>
      <c r="D89" s="2"/>
      <c r="E89" s="39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6"/>
    </row>
    <row r="90" ht="15.75" customHeight="1">
      <c r="A90" s="36"/>
      <c r="C90" s="35"/>
      <c r="D90" s="2"/>
      <c r="E90" s="39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6"/>
    </row>
    <row r="91" ht="15.75" customHeight="1">
      <c r="A91" s="36"/>
      <c r="C91" s="35"/>
      <c r="D91" s="2"/>
      <c r="E91" s="39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6"/>
    </row>
    <row r="92" ht="15.75" customHeight="1">
      <c r="A92" s="36"/>
      <c r="C92" s="35"/>
      <c r="D92" s="2"/>
      <c r="E92" s="39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6"/>
    </row>
    <row r="93" ht="15.75" customHeight="1">
      <c r="A93" s="36"/>
      <c r="C93" s="35"/>
      <c r="D93" s="2"/>
      <c r="E93" s="39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6"/>
    </row>
    <row r="94" ht="15.75" customHeight="1">
      <c r="A94" s="36"/>
      <c r="C94" s="35"/>
      <c r="D94" s="2"/>
      <c r="E94" s="39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6"/>
    </row>
    <row r="95" ht="15.75" customHeight="1">
      <c r="A95" s="36"/>
      <c r="C95" s="35"/>
      <c r="D95" s="2"/>
      <c r="E95" s="39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6"/>
    </row>
    <row r="96" ht="15.75" customHeight="1">
      <c r="A96" s="36"/>
      <c r="C96" s="35"/>
      <c r="D96" s="2"/>
      <c r="E96" s="39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6"/>
    </row>
    <row r="97" ht="15.75" customHeight="1">
      <c r="A97" s="36"/>
      <c r="C97" s="35"/>
      <c r="D97" s="2"/>
      <c r="E97" s="39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6"/>
    </row>
    <row r="98" ht="15.75" customHeight="1">
      <c r="A98" s="36"/>
      <c r="C98" s="35"/>
      <c r="D98" s="2"/>
      <c r="E98" s="39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6"/>
    </row>
    <row r="99" ht="15.75" customHeight="1">
      <c r="A99" s="36"/>
      <c r="C99" s="35"/>
      <c r="D99" s="2"/>
      <c r="E99" s="39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6"/>
    </row>
    <row r="100" ht="15.75" customHeight="1">
      <c r="A100" s="36"/>
      <c r="C100" s="35"/>
      <c r="D100" s="2"/>
      <c r="E100" s="39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6"/>
    </row>
    <row r="101" ht="15.75" customHeight="1">
      <c r="A101" s="36"/>
      <c r="C101" s="35"/>
      <c r="D101" s="2"/>
      <c r="E101" s="39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6"/>
    </row>
    <row r="102" ht="15.75" customHeight="1">
      <c r="A102" s="36"/>
      <c r="C102" s="35"/>
      <c r="D102" s="2"/>
      <c r="E102" s="39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6"/>
    </row>
    <row r="103" ht="15.75" customHeight="1">
      <c r="A103" s="36"/>
      <c r="C103" s="35"/>
      <c r="D103" s="2"/>
      <c r="E103" s="39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6"/>
    </row>
    <row r="104" ht="15.75" customHeight="1">
      <c r="A104" s="36"/>
      <c r="B104" s="35"/>
      <c r="C104" s="35"/>
      <c r="D104" s="2"/>
      <c r="E104" s="39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6"/>
    </row>
    <row r="105" ht="15.75" customHeight="1">
      <c r="A105" s="36"/>
      <c r="B105" s="35"/>
      <c r="C105" s="35"/>
      <c r="D105" s="2"/>
      <c r="E105" s="39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6"/>
    </row>
    <row r="106" ht="15.75" customHeight="1">
      <c r="A106" s="36"/>
      <c r="B106" s="35"/>
      <c r="C106" s="35"/>
      <c r="D106" s="2"/>
      <c r="E106" s="39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6"/>
    </row>
    <row r="107" ht="15.75" customHeight="1">
      <c r="A107" s="36"/>
      <c r="B107" s="35"/>
      <c r="C107" s="35"/>
      <c r="D107" s="2"/>
      <c r="E107" s="39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6"/>
    </row>
    <row r="108" ht="15.75" customHeight="1">
      <c r="A108" s="36"/>
      <c r="B108" s="35"/>
      <c r="C108" s="35"/>
      <c r="D108" s="2"/>
      <c r="E108" s="39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6"/>
    </row>
    <row r="109" ht="15.75" customHeight="1">
      <c r="A109" s="36"/>
      <c r="B109" s="35"/>
      <c r="C109" s="35"/>
      <c r="D109" s="2"/>
      <c r="E109" s="39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6"/>
    </row>
    <row r="110" ht="15.75" customHeight="1">
      <c r="A110" s="36"/>
      <c r="B110" s="35"/>
      <c r="C110" s="35"/>
      <c r="D110" s="2"/>
      <c r="E110" s="39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6"/>
    </row>
    <row r="111" ht="15.75" customHeight="1">
      <c r="A111" s="36"/>
      <c r="B111" s="35"/>
      <c r="C111" s="35"/>
      <c r="D111" s="2"/>
      <c r="E111" s="39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6"/>
    </row>
    <row r="112" ht="15.75" customHeight="1">
      <c r="A112" s="36"/>
      <c r="B112" s="35"/>
      <c r="C112" s="35"/>
      <c r="D112" s="2"/>
      <c r="E112" s="39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6"/>
    </row>
    <row r="113" ht="15.75" customHeight="1">
      <c r="A113" s="36"/>
      <c r="B113" s="35"/>
      <c r="C113" s="35"/>
      <c r="D113" s="2"/>
      <c r="E113" s="39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6"/>
    </row>
    <row r="114" ht="15.75" customHeight="1">
      <c r="A114" s="36"/>
      <c r="B114" s="35"/>
      <c r="C114" s="35"/>
      <c r="D114" s="2"/>
      <c r="E114" s="39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6"/>
    </row>
    <row r="115" ht="15.75" customHeight="1">
      <c r="A115" s="36"/>
      <c r="B115" s="35"/>
      <c r="C115" s="35"/>
      <c r="D115" s="2"/>
      <c r="E115" s="39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6"/>
    </row>
    <row r="116" ht="15.75" customHeight="1">
      <c r="A116" s="36"/>
      <c r="B116" s="35"/>
      <c r="C116" s="35"/>
      <c r="D116" s="2"/>
      <c r="E116" s="39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6"/>
    </row>
    <row r="117" ht="15.75" customHeight="1">
      <c r="A117" s="36"/>
      <c r="B117" s="35"/>
      <c r="C117" s="35"/>
      <c r="D117" s="2"/>
      <c r="E117" s="39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6"/>
    </row>
    <row r="118" ht="15.75" customHeight="1">
      <c r="A118" s="36"/>
      <c r="B118" s="35"/>
      <c r="C118" s="35"/>
      <c r="D118" s="2"/>
      <c r="E118" s="39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6"/>
    </row>
    <row r="119" ht="15.75" customHeight="1">
      <c r="A119" s="36"/>
      <c r="B119" s="35"/>
      <c r="C119" s="35"/>
      <c r="D119" s="2"/>
      <c r="E119" s="39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6"/>
    </row>
    <row r="120" ht="15.75" customHeight="1">
      <c r="A120" s="36"/>
      <c r="B120" s="35"/>
      <c r="C120" s="35"/>
      <c r="D120" s="2"/>
      <c r="E120" s="39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6"/>
    </row>
    <row r="121" ht="15.75" customHeight="1">
      <c r="A121" s="36"/>
      <c r="B121" s="35"/>
      <c r="C121" s="35"/>
      <c r="D121" s="2"/>
      <c r="E121" s="39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6"/>
    </row>
    <row r="122" ht="15.75" customHeight="1">
      <c r="A122" s="36"/>
      <c r="B122" s="35"/>
      <c r="C122" s="35"/>
      <c r="D122" s="2"/>
      <c r="E122" s="39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6"/>
    </row>
    <row r="123" ht="15.75" customHeight="1">
      <c r="A123" s="36"/>
      <c r="B123" s="35"/>
      <c r="C123" s="35"/>
      <c r="D123" s="2"/>
      <c r="E123" s="39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6"/>
    </row>
    <row r="124" ht="15.75" customHeight="1">
      <c r="A124" s="36"/>
      <c r="B124" s="35"/>
      <c r="C124" s="35"/>
      <c r="D124" s="2"/>
      <c r="E124" s="39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6"/>
    </row>
    <row r="125" ht="15.75" customHeight="1">
      <c r="A125" s="36"/>
      <c r="B125" s="35"/>
      <c r="C125" s="35"/>
      <c r="D125" s="2"/>
      <c r="E125" s="39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6"/>
    </row>
    <row r="126" ht="15.75" customHeight="1">
      <c r="A126" s="36"/>
      <c r="B126" s="35"/>
      <c r="C126" s="35"/>
      <c r="D126" s="2"/>
      <c r="E126" s="39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6"/>
    </row>
    <row r="127" ht="15.75" customHeight="1">
      <c r="A127" s="36"/>
      <c r="B127" s="35"/>
      <c r="C127" s="35"/>
      <c r="D127" s="2"/>
      <c r="E127" s="39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6"/>
    </row>
    <row r="128" ht="15.75" customHeight="1">
      <c r="A128" s="36"/>
      <c r="B128" s="35"/>
      <c r="C128" s="35"/>
      <c r="D128" s="2"/>
      <c r="E128" s="39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6"/>
    </row>
    <row r="129" ht="15.75" customHeight="1">
      <c r="A129" s="36"/>
      <c r="B129" s="35"/>
      <c r="C129" s="35"/>
      <c r="D129" s="2"/>
      <c r="E129" s="39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6"/>
    </row>
    <row r="130" ht="15.75" customHeight="1">
      <c r="A130" s="36"/>
      <c r="B130" s="35"/>
      <c r="C130" s="35"/>
      <c r="D130" s="2"/>
      <c r="E130" s="39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6"/>
    </row>
    <row r="131" ht="15.75" customHeight="1">
      <c r="A131" s="36"/>
      <c r="B131" s="35"/>
      <c r="C131" s="35"/>
      <c r="D131" s="2"/>
      <c r="E131" s="39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6"/>
    </row>
    <row r="132" ht="15.75" customHeight="1">
      <c r="A132" s="36"/>
      <c r="B132" s="35"/>
      <c r="C132" s="35"/>
      <c r="D132" s="2"/>
      <c r="E132" s="39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6"/>
    </row>
    <row r="133" ht="15.75" customHeight="1">
      <c r="A133" s="36"/>
      <c r="B133" s="35"/>
      <c r="C133" s="35"/>
      <c r="D133" s="2"/>
      <c r="E133" s="39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6"/>
    </row>
    <row r="134" ht="15.75" customHeight="1">
      <c r="A134" s="36"/>
      <c r="B134" s="35"/>
      <c r="C134" s="35"/>
      <c r="D134" s="2"/>
      <c r="E134" s="39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6"/>
    </row>
    <row r="135" ht="15.75" customHeight="1">
      <c r="A135" s="36"/>
      <c r="B135" s="35"/>
      <c r="C135" s="35"/>
      <c r="D135" s="2"/>
      <c r="E135" s="39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6"/>
    </row>
    <row r="136" ht="15.75" customHeight="1">
      <c r="A136" s="36"/>
      <c r="B136" s="35"/>
      <c r="C136" s="35"/>
      <c r="D136" s="2"/>
      <c r="E136" s="39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6"/>
    </row>
    <row r="137" ht="15.75" customHeight="1">
      <c r="A137" s="36"/>
      <c r="B137" s="35"/>
      <c r="C137" s="35"/>
      <c r="D137" s="2"/>
      <c r="E137" s="39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6"/>
    </row>
    <row r="138" ht="15.75" customHeight="1">
      <c r="A138" s="36"/>
      <c r="B138" s="35"/>
      <c r="C138" s="35"/>
      <c r="D138" s="2"/>
      <c r="E138" s="39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6"/>
    </row>
    <row r="139" ht="15.75" customHeight="1">
      <c r="A139" s="36"/>
      <c r="B139" s="35"/>
      <c r="C139" s="35"/>
      <c r="D139" s="2"/>
      <c r="E139" s="39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6"/>
    </row>
    <row r="140" ht="15.75" customHeight="1">
      <c r="A140" s="36"/>
      <c r="B140" s="35"/>
      <c r="C140" s="35"/>
      <c r="D140" s="2"/>
      <c r="E140" s="39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6"/>
    </row>
    <row r="141" ht="15.75" customHeight="1">
      <c r="A141" s="36"/>
      <c r="B141" s="35"/>
      <c r="C141" s="35"/>
      <c r="D141" s="2"/>
      <c r="E141" s="39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6"/>
    </row>
    <row r="142" ht="15.75" customHeight="1">
      <c r="A142" s="36"/>
      <c r="B142" s="35"/>
      <c r="C142" s="35"/>
      <c r="D142" s="2"/>
      <c r="E142" s="39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6"/>
    </row>
    <row r="143" ht="15.75" customHeight="1">
      <c r="A143" s="36"/>
      <c r="B143" s="35"/>
      <c r="C143" s="35"/>
      <c r="D143" s="2"/>
      <c r="E143" s="39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6"/>
    </row>
    <row r="144" ht="15.75" customHeight="1">
      <c r="A144" s="36"/>
      <c r="B144" s="35"/>
      <c r="C144" s="35"/>
      <c r="D144" s="2"/>
      <c r="E144" s="39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6"/>
    </row>
    <row r="145" ht="15.75" customHeight="1">
      <c r="A145" s="36"/>
      <c r="B145" s="35"/>
      <c r="C145" s="35"/>
      <c r="D145" s="2"/>
      <c r="E145" s="39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6"/>
    </row>
    <row r="146" ht="15.75" customHeight="1">
      <c r="A146" s="36"/>
      <c r="B146" s="35"/>
      <c r="C146" s="35"/>
      <c r="D146" s="2"/>
      <c r="E146" s="39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6"/>
    </row>
    <row r="147" ht="15.75" customHeight="1">
      <c r="A147" s="36"/>
      <c r="B147" s="35"/>
      <c r="C147" s="35"/>
      <c r="D147" s="2"/>
      <c r="E147" s="39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6"/>
    </row>
    <row r="148" ht="15.75" customHeight="1">
      <c r="A148" s="36"/>
      <c r="B148" s="35"/>
      <c r="C148" s="35"/>
      <c r="D148" s="2"/>
      <c r="E148" s="39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6"/>
    </row>
    <row r="149" ht="15.75" customHeight="1">
      <c r="A149" s="36"/>
      <c r="B149" s="35"/>
      <c r="C149" s="35"/>
      <c r="D149" s="2"/>
      <c r="E149" s="39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6"/>
    </row>
    <row r="150" ht="15.75" customHeight="1">
      <c r="A150" s="36"/>
      <c r="B150" s="35"/>
      <c r="C150" s="35"/>
      <c r="D150" s="2"/>
      <c r="E150" s="39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6"/>
    </row>
    <row r="151" ht="15.75" customHeight="1">
      <c r="A151" s="36"/>
      <c r="B151" s="35"/>
      <c r="C151" s="35"/>
      <c r="D151" s="2"/>
      <c r="E151" s="39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6"/>
    </row>
    <row r="152" ht="15.75" customHeight="1">
      <c r="A152" s="36"/>
      <c r="B152" s="35"/>
      <c r="C152" s="35"/>
      <c r="D152" s="2"/>
      <c r="E152" s="39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6"/>
    </row>
    <row r="153" ht="15.75" customHeight="1">
      <c r="A153" s="36"/>
      <c r="B153" s="35"/>
      <c r="C153" s="35"/>
      <c r="D153" s="2"/>
      <c r="E153" s="39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6"/>
    </row>
    <row r="154" ht="15.75" customHeight="1">
      <c r="A154" s="36"/>
      <c r="B154" s="35"/>
      <c r="C154" s="35"/>
      <c r="D154" s="2"/>
      <c r="E154" s="39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6"/>
    </row>
    <row r="155" ht="15.75" customHeight="1">
      <c r="A155" s="36"/>
      <c r="B155" s="35"/>
      <c r="C155" s="35"/>
      <c r="D155" s="2"/>
      <c r="E155" s="39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6"/>
    </row>
    <row r="156" ht="15.75" customHeight="1">
      <c r="A156" s="36"/>
      <c r="B156" s="35"/>
      <c r="C156" s="35"/>
      <c r="D156" s="2"/>
      <c r="E156" s="39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6"/>
    </row>
    <row r="157" ht="15.75" customHeight="1">
      <c r="A157" s="36"/>
      <c r="B157" s="35"/>
      <c r="C157" s="35"/>
      <c r="D157" s="2"/>
      <c r="E157" s="39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6"/>
    </row>
    <row r="158" ht="15.75" customHeight="1">
      <c r="A158" s="36"/>
      <c r="B158" s="35"/>
      <c r="C158" s="35"/>
      <c r="D158" s="2"/>
      <c r="E158" s="39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6"/>
    </row>
    <row r="159" ht="15.75" customHeight="1">
      <c r="A159" s="36"/>
      <c r="B159" s="35"/>
      <c r="C159" s="35"/>
      <c r="D159" s="2"/>
      <c r="E159" s="39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6"/>
    </row>
    <row r="160" ht="15.75" customHeight="1">
      <c r="A160" s="36"/>
      <c r="B160" s="35"/>
      <c r="C160" s="35"/>
      <c r="D160" s="2"/>
      <c r="E160" s="39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6"/>
    </row>
    <row r="161" ht="15.75" customHeight="1">
      <c r="A161" s="36"/>
      <c r="B161" s="35"/>
      <c r="C161" s="35"/>
      <c r="D161" s="2"/>
      <c r="E161" s="39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6"/>
    </row>
    <row r="162" ht="15.75" customHeight="1">
      <c r="A162" s="36"/>
      <c r="B162" s="35"/>
      <c r="C162" s="35"/>
      <c r="D162" s="2"/>
      <c r="E162" s="39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6"/>
    </row>
    <row r="163" ht="15.75" customHeight="1">
      <c r="A163" s="36"/>
      <c r="B163" s="35"/>
      <c r="C163" s="35"/>
      <c r="D163" s="2"/>
      <c r="E163" s="39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6"/>
    </row>
    <row r="164" ht="15.75" customHeight="1">
      <c r="A164" s="36"/>
      <c r="B164" s="35"/>
      <c r="C164" s="35"/>
      <c r="D164" s="2"/>
      <c r="E164" s="39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6"/>
    </row>
    <row r="165" ht="15.75" customHeight="1">
      <c r="A165" s="36"/>
      <c r="B165" s="35"/>
      <c r="C165" s="35"/>
      <c r="D165" s="2"/>
      <c r="E165" s="39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6"/>
    </row>
    <row r="166" ht="15.75" customHeight="1">
      <c r="A166" s="36"/>
      <c r="B166" s="35"/>
      <c r="C166" s="35"/>
      <c r="D166" s="2"/>
      <c r="E166" s="39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6"/>
    </row>
    <row r="167" ht="15.75" customHeight="1">
      <c r="A167" s="36"/>
      <c r="B167" s="35"/>
      <c r="C167" s="35"/>
      <c r="D167" s="2"/>
      <c r="E167" s="39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6"/>
    </row>
    <row r="168" ht="15.75" customHeight="1">
      <c r="A168" s="36"/>
      <c r="B168" s="35"/>
      <c r="C168" s="35"/>
      <c r="D168" s="2"/>
      <c r="E168" s="39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6"/>
    </row>
    <row r="169" ht="15.75" customHeight="1">
      <c r="A169" s="36"/>
      <c r="B169" s="35"/>
      <c r="C169" s="35"/>
      <c r="D169" s="2"/>
      <c r="E169" s="39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6"/>
    </row>
    <row r="170" ht="15.75" customHeight="1">
      <c r="A170" s="36"/>
      <c r="B170" s="35"/>
      <c r="C170" s="35"/>
      <c r="D170" s="2"/>
      <c r="E170" s="39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6"/>
    </row>
    <row r="171" ht="15.75" customHeight="1">
      <c r="A171" s="36"/>
      <c r="B171" s="35"/>
      <c r="C171" s="35"/>
      <c r="D171" s="2"/>
      <c r="E171" s="39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6"/>
    </row>
    <row r="172" ht="15.75" customHeight="1">
      <c r="A172" s="36"/>
      <c r="B172" s="35"/>
      <c r="C172" s="35"/>
      <c r="D172" s="2"/>
      <c r="E172" s="39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6"/>
    </row>
    <row r="173" ht="15.75" customHeight="1">
      <c r="A173" s="36"/>
      <c r="B173" s="35"/>
      <c r="C173" s="35"/>
      <c r="D173" s="2"/>
      <c r="E173" s="39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6"/>
    </row>
    <row r="174" ht="15.75" customHeight="1">
      <c r="A174" s="36"/>
      <c r="B174" s="35"/>
      <c r="C174" s="35"/>
      <c r="D174" s="2"/>
      <c r="E174" s="39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6"/>
    </row>
    <row r="175" ht="15.75" customHeight="1">
      <c r="A175" s="36"/>
      <c r="B175" s="35"/>
      <c r="C175" s="35"/>
      <c r="D175" s="2"/>
      <c r="E175" s="39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6"/>
    </row>
    <row r="176" ht="15.75" customHeight="1">
      <c r="A176" s="36"/>
      <c r="B176" s="35"/>
      <c r="C176" s="35"/>
      <c r="D176" s="2"/>
      <c r="E176" s="39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6"/>
    </row>
    <row r="177" ht="15.75" customHeight="1">
      <c r="A177" s="36"/>
      <c r="B177" s="35"/>
      <c r="C177" s="35"/>
      <c r="D177" s="2"/>
      <c r="E177" s="39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6"/>
    </row>
    <row r="178" ht="15.75" customHeight="1">
      <c r="A178" s="36"/>
      <c r="B178" s="35"/>
      <c r="C178" s="35"/>
      <c r="D178" s="2"/>
      <c r="E178" s="39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6"/>
    </row>
    <row r="179" ht="15.75" customHeight="1">
      <c r="A179" s="36"/>
      <c r="B179" s="35"/>
      <c r="C179" s="35"/>
      <c r="D179" s="2"/>
      <c r="E179" s="39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6"/>
    </row>
    <row r="180" ht="15.75" customHeight="1">
      <c r="A180" s="36"/>
      <c r="B180" s="35"/>
      <c r="C180" s="35"/>
      <c r="D180" s="2"/>
      <c r="E180" s="39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6"/>
    </row>
    <row r="181" ht="15.75" customHeight="1">
      <c r="A181" s="36"/>
      <c r="B181" s="35"/>
      <c r="C181" s="35"/>
      <c r="D181" s="2"/>
      <c r="E181" s="39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6"/>
    </row>
    <row r="182" ht="15.75" customHeight="1">
      <c r="A182" s="36"/>
      <c r="B182" s="35"/>
      <c r="C182" s="35"/>
      <c r="D182" s="2"/>
      <c r="E182" s="39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6"/>
    </row>
    <row r="183" ht="15.75" customHeight="1">
      <c r="A183" s="36"/>
      <c r="B183" s="35"/>
      <c r="C183" s="35"/>
      <c r="D183" s="2"/>
      <c r="E183" s="39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6"/>
    </row>
    <row r="184" ht="15.75" customHeight="1">
      <c r="A184" s="36"/>
      <c r="B184" s="35"/>
      <c r="C184" s="35"/>
      <c r="D184" s="2"/>
      <c r="E184" s="39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6"/>
    </row>
    <row r="185" ht="15.75" customHeight="1">
      <c r="A185" s="36"/>
      <c r="B185" s="35"/>
      <c r="C185" s="35"/>
      <c r="D185" s="2"/>
      <c r="E185" s="39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6"/>
    </row>
    <row r="186" ht="15.75" customHeight="1">
      <c r="A186" s="36"/>
      <c r="B186" s="35"/>
      <c r="C186" s="35"/>
      <c r="D186" s="2"/>
      <c r="E186" s="39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6"/>
    </row>
    <row r="187" ht="15.75" customHeight="1">
      <c r="A187" s="36"/>
      <c r="B187" s="35"/>
      <c r="C187" s="35"/>
      <c r="D187" s="2"/>
      <c r="E187" s="39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6"/>
    </row>
    <row r="188" ht="15.75" customHeight="1">
      <c r="A188" s="36"/>
      <c r="B188" s="35"/>
      <c r="C188" s="35"/>
      <c r="D188" s="2"/>
      <c r="E188" s="39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6"/>
    </row>
    <row r="189" ht="15.75" customHeight="1">
      <c r="A189" s="36"/>
      <c r="B189" s="35"/>
      <c r="C189" s="35"/>
      <c r="D189" s="2"/>
      <c r="E189" s="39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6"/>
    </row>
    <row r="190" ht="15.75" customHeight="1">
      <c r="A190" s="36"/>
      <c r="B190" s="35"/>
      <c r="C190" s="35"/>
      <c r="D190" s="2"/>
      <c r="E190" s="39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6"/>
    </row>
    <row r="191" ht="15.75" customHeight="1">
      <c r="A191" s="36"/>
      <c r="B191" s="35"/>
      <c r="C191" s="35"/>
      <c r="D191" s="2"/>
      <c r="E191" s="39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6"/>
    </row>
    <row r="192" ht="15.75" customHeight="1">
      <c r="A192" s="36"/>
      <c r="B192" s="35"/>
      <c r="C192" s="35"/>
      <c r="D192" s="2"/>
      <c r="E192" s="39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6"/>
    </row>
    <row r="193" ht="15.75" customHeight="1">
      <c r="A193" s="36"/>
      <c r="B193" s="35"/>
      <c r="C193" s="35"/>
      <c r="D193" s="2"/>
      <c r="E193" s="39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6"/>
    </row>
    <row r="194" ht="15.75" customHeight="1">
      <c r="A194" s="36"/>
      <c r="B194" s="35"/>
      <c r="C194" s="35"/>
      <c r="D194" s="2"/>
      <c r="E194" s="39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6"/>
    </row>
    <row r="195" ht="15.75" customHeight="1">
      <c r="A195" s="36"/>
      <c r="B195" s="35"/>
      <c r="C195" s="35"/>
      <c r="D195" s="2"/>
      <c r="E195" s="39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6"/>
    </row>
    <row r="196" ht="15.75" customHeight="1">
      <c r="A196" s="36"/>
      <c r="B196" s="35"/>
      <c r="C196" s="35"/>
      <c r="D196" s="2"/>
      <c r="E196" s="39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6"/>
    </row>
    <row r="197" ht="15.75" customHeight="1">
      <c r="A197" s="36"/>
      <c r="B197" s="35"/>
      <c r="C197" s="35"/>
      <c r="D197" s="2"/>
      <c r="E197" s="39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6"/>
    </row>
    <row r="198" ht="15.75" customHeight="1">
      <c r="A198" s="36"/>
      <c r="B198" s="35"/>
      <c r="C198" s="35"/>
      <c r="D198" s="2"/>
      <c r="E198" s="39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6"/>
    </row>
    <row r="199" ht="15.75" customHeight="1">
      <c r="A199" s="36"/>
      <c r="B199" s="35"/>
      <c r="C199" s="35"/>
      <c r="D199" s="2"/>
      <c r="E199" s="39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6"/>
    </row>
    <row r="200" ht="15.75" customHeight="1">
      <c r="A200" s="36"/>
      <c r="B200" s="35"/>
      <c r="C200" s="35"/>
      <c r="D200" s="2"/>
      <c r="E200" s="39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6"/>
    </row>
    <row r="201" ht="15.75" customHeight="1">
      <c r="A201" s="36"/>
      <c r="B201" s="35"/>
      <c r="C201" s="35"/>
      <c r="D201" s="2"/>
      <c r="E201" s="39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6"/>
    </row>
    <row r="202" ht="15.75" customHeight="1">
      <c r="A202" s="36"/>
      <c r="B202" s="35"/>
      <c r="C202" s="35"/>
      <c r="D202" s="2"/>
      <c r="E202" s="39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6"/>
    </row>
    <row r="203" ht="15.75" customHeight="1">
      <c r="A203" s="36"/>
      <c r="B203" s="35"/>
      <c r="C203" s="35"/>
      <c r="D203" s="2"/>
      <c r="E203" s="39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6"/>
    </row>
    <row r="204" ht="15.75" customHeight="1">
      <c r="A204" s="36"/>
      <c r="B204" s="35"/>
      <c r="C204" s="35"/>
      <c r="D204" s="2"/>
      <c r="E204" s="39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6"/>
    </row>
    <row r="205" ht="15.75" customHeight="1">
      <c r="A205" s="36"/>
      <c r="B205" s="35"/>
      <c r="C205" s="35"/>
      <c r="D205" s="2"/>
      <c r="E205" s="39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6"/>
    </row>
    <row r="206" ht="15.75" customHeight="1">
      <c r="A206" s="36"/>
      <c r="B206" s="35"/>
      <c r="C206" s="35"/>
      <c r="D206" s="2"/>
      <c r="E206" s="39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6"/>
    </row>
    <row r="207" ht="15.75" customHeight="1">
      <c r="A207" s="36"/>
      <c r="B207" s="35"/>
      <c r="C207" s="35"/>
      <c r="D207" s="2"/>
      <c r="E207" s="39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6"/>
    </row>
    <row r="208" ht="15.75" customHeight="1">
      <c r="A208" s="36"/>
      <c r="B208" s="35"/>
      <c r="C208" s="35"/>
      <c r="D208" s="2"/>
      <c r="E208" s="39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6"/>
    </row>
    <row r="209" ht="15.75" customHeight="1">
      <c r="A209" s="36"/>
      <c r="B209" s="35"/>
      <c r="C209" s="35"/>
      <c r="D209" s="2"/>
      <c r="E209" s="39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6"/>
    </row>
    <row r="210" ht="15.75" customHeight="1">
      <c r="A210" s="36"/>
      <c r="B210" s="35"/>
      <c r="C210" s="35"/>
      <c r="D210" s="2"/>
      <c r="E210" s="39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6"/>
    </row>
    <row r="211" ht="15.75" customHeight="1">
      <c r="A211" s="36"/>
      <c r="B211" s="35"/>
      <c r="C211" s="35"/>
      <c r="D211" s="2"/>
      <c r="E211" s="39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6"/>
    </row>
    <row r="212" ht="15.75" customHeight="1">
      <c r="A212" s="36"/>
      <c r="B212" s="35"/>
      <c r="C212" s="35"/>
      <c r="D212" s="2"/>
      <c r="E212" s="39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6"/>
    </row>
    <row r="213" ht="15.75" customHeight="1">
      <c r="A213" s="36"/>
      <c r="B213" s="35"/>
      <c r="C213" s="35"/>
      <c r="D213" s="2"/>
      <c r="E213" s="39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6"/>
    </row>
    <row r="214" ht="15.75" customHeight="1">
      <c r="A214" s="36"/>
      <c r="B214" s="35"/>
      <c r="C214" s="35"/>
      <c r="D214" s="2"/>
      <c r="E214" s="39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6"/>
    </row>
    <row r="215" ht="15.75" customHeight="1">
      <c r="A215" s="36"/>
      <c r="B215" s="35"/>
      <c r="C215" s="35"/>
      <c r="D215" s="2"/>
      <c r="E215" s="39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6"/>
    </row>
    <row r="216" ht="15.75" customHeight="1">
      <c r="A216" s="36"/>
      <c r="B216" s="35"/>
      <c r="C216" s="35"/>
      <c r="D216" s="2"/>
      <c r="E216" s="39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6"/>
    </row>
    <row r="217" ht="15.75" customHeight="1">
      <c r="A217" s="36"/>
      <c r="B217" s="35"/>
      <c r="C217" s="35"/>
      <c r="D217" s="2"/>
      <c r="E217" s="39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6"/>
    </row>
    <row r="218" ht="15.75" customHeight="1">
      <c r="A218" s="36"/>
      <c r="B218" s="35"/>
      <c r="C218" s="35"/>
      <c r="D218" s="2"/>
      <c r="E218" s="39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6"/>
    </row>
    <row r="219" ht="15.75" customHeight="1">
      <c r="A219" s="36"/>
      <c r="B219" s="35"/>
      <c r="C219" s="35"/>
      <c r="D219" s="2"/>
      <c r="E219" s="39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6"/>
    </row>
    <row r="220" ht="15.75" customHeight="1">
      <c r="A220" s="36"/>
      <c r="B220" s="35"/>
      <c r="C220" s="35"/>
      <c r="D220" s="2"/>
      <c r="E220" s="39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6"/>
    </row>
    <row r="221" ht="15.75" customHeight="1">
      <c r="A221" s="36"/>
      <c r="B221" s="35"/>
      <c r="C221" s="35"/>
      <c r="D221" s="2"/>
      <c r="E221" s="39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6"/>
    </row>
    <row r="222" ht="15.75" customHeight="1">
      <c r="A222" s="36"/>
      <c r="B222" s="35"/>
      <c r="C222" s="35"/>
      <c r="D222" s="2"/>
      <c r="E222" s="39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6"/>
    </row>
    <row r="223" ht="15.75" customHeight="1">
      <c r="A223" s="36"/>
      <c r="B223" s="35"/>
      <c r="C223" s="35"/>
      <c r="D223" s="2"/>
      <c r="E223" s="39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6"/>
    </row>
    <row r="224" ht="15.75" customHeight="1">
      <c r="A224" s="36"/>
      <c r="B224" s="35"/>
      <c r="C224" s="35"/>
      <c r="D224" s="2"/>
      <c r="E224" s="39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6"/>
    </row>
    <row r="225" ht="15.75" customHeight="1">
      <c r="A225" s="36"/>
      <c r="B225" s="35"/>
      <c r="C225" s="35"/>
      <c r="D225" s="2"/>
      <c r="E225" s="39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6"/>
    </row>
    <row r="226" ht="15.75" customHeight="1">
      <c r="A226" s="36"/>
      <c r="B226" s="35"/>
      <c r="C226" s="35"/>
      <c r="D226" s="2"/>
      <c r="E226" s="39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6"/>
    </row>
    <row r="227" ht="15.75" customHeight="1">
      <c r="A227" s="36"/>
      <c r="B227" s="35"/>
      <c r="C227" s="35"/>
      <c r="D227" s="2"/>
      <c r="E227" s="39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6"/>
    </row>
    <row r="228" ht="15.75" customHeight="1">
      <c r="A228" s="36"/>
      <c r="B228" s="35"/>
      <c r="C228" s="35"/>
      <c r="D228" s="2"/>
      <c r="E228" s="39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6"/>
    </row>
    <row r="229" ht="15.75" customHeight="1">
      <c r="A229" s="36"/>
      <c r="B229" s="35"/>
      <c r="C229" s="35"/>
      <c r="D229" s="2"/>
      <c r="E229" s="39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6"/>
    </row>
    <row r="230" ht="15.75" customHeight="1">
      <c r="A230" s="36"/>
      <c r="B230" s="35"/>
      <c r="C230" s="35"/>
      <c r="D230" s="2"/>
      <c r="E230" s="39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6"/>
    </row>
    <row r="231" ht="15.75" customHeight="1">
      <c r="A231" s="36"/>
      <c r="B231" s="35"/>
      <c r="C231" s="35"/>
      <c r="D231" s="2"/>
      <c r="E231" s="39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6"/>
    </row>
    <row r="232" ht="15.75" customHeight="1">
      <c r="A232" s="36"/>
      <c r="B232" s="35"/>
      <c r="C232" s="35"/>
      <c r="D232" s="2"/>
      <c r="E232" s="39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6"/>
    </row>
    <row r="233" ht="15.75" customHeight="1">
      <c r="A233" s="36"/>
      <c r="B233" s="35"/>
      <c r="C233" s="35"/>
      <c r="D233" s="2"/>
      <c r="E233" s="39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6"/>
    </row>
    <row r="234" ht="15.75" customHeight="1">
      <c r="A234" s="36"/>
      <c r="B234" s="35"/>
      <c r="C234" s="35"/>
      <c r="D234" s="2"/>
      <c r="E234" s="39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6"/>
    </row>
    <row r="235" ht="15.75" customHeight="1">
      <c r="A235" s="36"/>
      <c r="B235" s="35"/>
      <c r="C235" s="35"/>
      <c r="D235" s="2"/>
      <c r="E235" s="39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6"/>
    </row>
    <row r="236" ht="15.75" customHeight="1">
      <c r="A236" s="36"/>
      <c r="B236" s="35"/>
      <c r="C236" s="35"/>
      <c r="D236" s="2"/>
      <c r="E236" s="39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6"/>
    </row>
    <row r="237" ht="15.75" customHeight="1">
      <c r="A237" s="36"/>
      <c r="B237" s="35"/>
      <c r="C237" s="35"/>
      <c r="D237" s="2"/>
      <c r="E237" s="39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6"/>
    </row>
    <row r="238" ht="15.75" customHeight="1">
      <c r="A238" s="36"/>
      <c r="B238" s="35"/>
      <c r="C238" s="35"/>
      <c r="D238" s="2"/>
      <c r="E238" s="39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6"/>
    </row>
    <row r="239" ht="15.75" customHeight="1">
      <c r="A239" s="36"/>
      <c r="B239" s="35"/>
      <c r="C239" s="35"/>
      <c r="D239" s="2"/>
      <c r="E239" s="39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6"/>
    </row>
    <row r="240" ht="15.75" customHeight="1">
      <c r="A240" s="36"/>
      <c r="B240" s="35"/>
      <c r="C240" s="35"/>
      <c r="D240" s="2"/>
      <c r="E240" s="39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6"/>
    </row>
    <row r="241" ht="15.75" customHeight="1">
      <c r="A241" s="36"/>
      <c r="B241" s="35"/>
      <c r="C241" s="35"/>
      <c r="D241" s="2"/>
      <c r="E241" s="39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6"/>
    </row>
    <row r="242" ht="15.75" customHeight="1">
      <c r="A242" s="36"/>
      <c r="B242" s="35"/>
      <c r="C242" s="35"/>
      <c r="D242" s="2"/>
      <c r="E242" s="39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6"/>
    </row>
    <row r="243" ht="15.75" customHeight="1">
      <c r="A243" s="36"/>
      <c r="B243" s="35"/>
      <c r="C243" s="35"/>
      <c r="D243" s="2"/>
      <c r="E243" s="39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6"/>
    </row>
    <row r="244" ht="15.75" customHeight="1">
      <c r="A244" s="36"/>
      <c r="B244" s="35"/>
      <c r="C244" s="35"/>
      <c r="D244" s="2"/>
      <c r="E244" s="39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6"/>
    </row>
    <row r="245" ht="15.75" customHeight="1">
      <c r="A245" s="36"/>
      <c r="B245" s="35"/>
      <c r="C245" s="35"/>
      <c r="D245" s="2"/>
      <c r="E245" s="39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6"/>
    </row>
    <row r="246" ht="15.75" customHeight="1">
      <c r="A246" s="36"/>
      <c r="B246" s="35"/>
      <c r="C246" s="35"/>
      <c r="D246" s="2"/>
      <c r="E246" s="39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6"/>
    </row>
    <row r="247" ht="15.75" customHeight="1">
      <c r="A247" s="36"/>
      <c r="B247" s="35"/>
      <c r="C247" s="35"/>
      <c r="D247" s="2"/>
      <c r="E247" s="39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6"/>
    </row>
    <row r="248" ht="15.75" customHeight="1">
      <c r="A248" s="36"/>
      <c r="B248" s="35"/>
      <c r="C248" s="35"/>
      <c r="D248" s="2"/>
      <c r="E248" s="39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6"/>
    </row>
    <row r="249" ht="15.75" customHeight="1">
      <c r="A249" s="36"/>
      <c r="B249" s="35"/>
      <c r="C249" s="35"/>
      <c r="D249" s="2"/>
      <c r="E249" s="39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6"/>
    </row>
    <row r="250" ht="15.75" customHeight="1">
      <c r="A250" s="36"/>
      <c r="B250" s="35"/>
      <c r="C250" s="35"/>
      <c r="D250" s="2"/>
      <c r="E250" s="39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6"/>
    </row>
    <row r="251" ht="15.75" customHeight="1">
      <c r="A251" s="36"/>
      <c r="B251" s="35"/>
      <c r="C251" s="35"/>
      <c r="D251" s="2"/>
      <c r="E251" s="39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6"/>
    </row>
    <row r="252" ht="15.75" customHeight="1">
      <c r="A252" s="36"/>
      <c r="B252" s="35"/>
      <c r="C252" s="35"/>
      <c r="D252" s="2"/>
      <c r="E252" s="39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6"/>
    </row>
    <row r="253" ht="15.75" customHeight="1">
      <c r="A253" s="36"/>
      <c r="B253" s="35"/>
      <c r="C253" s="35"/>
      <c r="D253" s="2"/>
      <c r="E253" s="39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6"/>
    </row>
    <row r="254" ht="15.75" customHeight="1">
      <c r="A254" s="36"/>
      <c r="B254" s="35"/>
      <c r="C254" s="35"/>
      <c r="D254" s="2"/>
      <c r="E254" s="39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6"/>
    </row>
    <row r="255" ht="14.25" customHeight="1">
      <c r="A255" s="40"/>
      <c r="B255" s="3"/>
      <c r="C255" s="3"/>
      <c r="D255" s="3"/>
      <c r="E255" s="4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4.43"/>
    <col customWidth="1" min="3" max="3" width="40.29"/>
    <col customWidth="1" min="4" max="4" width="17.14"/>
    <col customWidth="1" min="5" max="5" width="15.0"/>
    <col customWidth="1" min="6" max="6" width="32.86"/>
    <col customWidth="1" min="7" max="8" width="19.29"/>
    <col customWidth="1" min="9" max="9" width="32.29"/>
    <col customWidth="1" min="10" max="11" width="19.29"/>
    <col customWidth="1" min="12" max="12" width="36.0"/>
    <col customWidth="1" min="13" max="13" width="16.57"/>
    <col customWidth="1" min="14" max="14" width="16.71"/>
    <col customWidth="1" min="15" max="22" width="13.57"/>
    <col customWidth="1" min="23" max="23" width="9.0"/>
  </cols>
  <sheetData>
    <row r="1">
      <c r="A1" s="6"/>
      <c r="B1" s="35" t="s">
        <v>816</v>
      </c>
      <c r="C1" s="35" t="s">
        <v>1019</v>
      </c>
      <c r="D1" s="51"/>
      <c r="E1" s="51"/>
      <c r="F1" s="2"/>
      <c r="G1" s="2"/>
      <c r="H1" s="2"/>
      <c r="I1" s="3"/>
      <c r="J1" s="3"/>
      <c r="K1" s="3"/>
      <c r="L1" s="35"/>
      <c r="M1" s="35"/>
      <c r="N1" s="35"/>
      <c r="O1" s="3"/>
      <c r="P1" s="3"/>
      <c r="Q1" s="3"/>
      <c r="R1" s="3"/>
      <c r="S1" s="3"/>
      <c r="T1" s="3"/>
      <c r="U1" s="3"/>
      <c r="V1" s="4">
        <v>1.0</v>
      </c>
      <c r="W1" s="3"/>
    </row>
    <row r="2">
      <c r="A2" s="52" t="s">
        <v>1020</v>
      </c>
      <c r="D2" s="5" t="s">
        <v>1</v>
      </c>
      <c r="E2" s="53" t="s">
        <v>1021</v>
      </c>
      <c r="F2" s="3"/>
      <c r="G2" s="3"/>
      <c r="H2" s="3"/>
      <c r="I2" s="3"/>
      <c r="J2" s="3"/>
      <c r="K2" s="3"/>
      <c r="L2" s="35"/>
      <c r="M2" s="35"/>
      <c r="N2" s="35"/>
      <c r="O2" s="3"/>
      <c r="P2" s="3"/>
      <c r="Q2" s="3"/>
      <c r="R2" s="3"/>
      <c r="S2" s="3"/>
      <c r="T2" s="3"/>
      <c r="U2" s="3"/>
      <c r="V2" s="6"/>
      <c r="W2" s="3"/>
    </row>
    <row r="3">
      <c r="A3" s="54"/>
      <c r="B3" s="55"/>
      <c r="C3" s="56" t="s">
        <v>2</v>
      </c>
      <c r="D3" s="9"/>
      <c r="E3" s="10"/>
      <c r="F3" s="13" t="s">
        <v>3</v>
      </c>
      <c r="G3" s="9"/>
      <c r="H3" s="10"/>
      <c r="I3" s="15" t="s">
        <v>1022</v>
      </c>
      <c r="J3" s="9"/>
      <c r="K3" s="10"/>
      <c r="L3" s="45"/>
      <c r="M3" s="5"/>
      <c r="N3" s="45"/>
      <c r="O3" s="3"/>
      <c r="P3" s="3"/>
      <c r="Q3" s="3"/>
      <c r="R3" s="3"/>
      <c r="S3" s="3"/>
      <c r="T3" s="3"/>
      <c r="U3" s="3"/>
      <c r="V3" s="6"/>
      <c r="W3" s="3"/>
    </row>
    <row r="4">
      <c r="A4" s="57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20" t="s">
        <v>12</v>
      </c>
      <c r="G4" s="20" t="s">
        <v>13</v>
      </c>
      <c r="H4" s="20" t="s">
        <v>16</v>
      </c>
      <c r="I4" s="23" t="s">
        <v>20</v>
      </c>
      <c r="J4" s="23" t="s">
        <v>21</v>
      </c>
      <c r="K4" s="23" t="s">
        <v>22</v>
      </c>
      <c r="L4" s="46"/>
      <c r="M4" s="46"/>
      <c r="N4" s="46"/>
      <c r="O4" s="3"/>
      <c r="P4" s="3"/>
      <c r="Q4" s="3"/>
      <c r="R4" s="3"/>
      <c r="S4" s="3"/>
      <c r="T4" s="3"/>
      <c r="U4" s="3"/>
      <c r="V4" s="6"/>
      <c r="W4" s="3"/>
    </row>
    <row r="5" ht="30.0" customHeight="1">
      <c r="A5" s="6">
        <v>1.0</v>
      </c>
      <c r="B5" s="58" t="s">
        <v>1023</v>
      </c>
      <c r="C5" s="47" t="s">
        <v>1024</v>
      </c>
      <c r="D5" s="59">
        <v>0.0</v>
      </c>
      <c r="E5" s="59">
        <v>28.2173187732696</v>
      </c>
      <c r="F5" s="29" t="s">
        <v>1025</v>
      </c>
      <c r="G5" s="28">
        <v>0.0</v>
      </c>
      <c r="H5" s="28">
        <v>0.997077703475952</v>
      </c>
      <c r="I5" s="49" t="s">
        <v>1026</v>
      </c>
      <c r="J5" s="50">
        <v>0.0</v>
      </c>
      <c r="K5" s="50">
        <v>4.20452785491943</v>
      </c>
      <c r="L5" s="35">
        <f t="shared" ref="L5:L54" si="1">E5/K5</f>
        <v>6.711174179</v>
      </c>
      <c r="M5" s="35">
        <v>6.711174178630889</v>
      </c>
      <c r="N5" s="35"/>
      <c r="O5" s="3"/>
      <c r="P5" s="3"/>
      <c r="Q5" s="3"/>
      <c r="R5" s="3"/>
      <c r="S5" s="3"/>
      <c r="T5" s="3"/>
      <c r="U5" s="3"/>
      <c r="V5" s="6"/>
      <c r="W5" s="3"/>
    </row>
    <row r="6" ht="30.0" customHeight="1">
      <c r="A6" s="6">
        <v>2.0</v>
      </c>
      <c r="B6" s="58" t="s">
        <v>1027</v>
      </c>
      <c r="C6" s="47" t="s">
        <v>1028</v>
      </c>
      <c r="D6" s="59">
        <v>0.0</v>
      </c>
      <c r="E6" s="59">
        <v>28.9070026874542</v>
      </c>
      <c r="F6" s="29" t="s">
        <v>1029</v>
      </c>
      <c r="G6" s="28">
        <v>0.0</v>
      </c>
      <c r="H6" s="28">
        <v>0.496092557907104</v>
      </c>
      <c r="I6" s="49" t="s">
        <v>1030</v>
      </c>
      <c r="J6" s="50">
        <v>0.0</v>
      </c>
      <c r="K6" s="50">
        <v>1.93711996078491</v>
      </c>
      <c r="L6" s="35">
        <f t="shared" si="1"/>
        <v>14.92267039</v>
      </c>
      <c r="M6" s="35">
        <v>14.92267039349553</v>
      </c>
      <c r="N6" s="35"/>
      <c r="O6" s="3"/>
      <c r="P6" s="3"/>
      <c r="Q6" s="3"/>
      <c r="R6" s="3"/>
      <c r="S6" s="3"/>
      <c r="T6" s="3"/>
      <c r="U6" s="3"/>
      <c r="V6" s="6"/>
      <c r="W6" s="3"/>
    </row>
    <row r="7" ht="30.0" customHeight="1">
      <c r="A7" s="6">
        <v>3.0</v>
      </c>
      <c r="B7" s="58" t="s">
        <v>1031</v>
      </c>
      <c r="C7" s="47" t="s">
        <v>1032</v>
      </c>
      <c r="D7" s="59">
        <v>0.0</v>
      </c>
      <c r="E7" s="59">
        <v>28.8261246681213</v>
      </c>
      <c r="F7" s="29" t="s">
        <v>1033</v>
      </c>
      <c r="G7" s="28">
        <v>0.0</v>
      </c>
      <c r="H7" s="28">
        <v>0.72301435470581</v>
      </c>
      <c r="I7" s="49" t="s">
        <v>1034</v>
      </c>
      <c r="J7" s="50">
        <v>0.0</v>
      </c>
      <c r="K7" s="50">
        <v>1.77196407318115</v>
      </c>
      <c r="L7" s="35">
        <f t="shared" si="1"/>
        <v>16.26789454</v>
      </c>
      <c r="M7" s="35">
        <v>16.267894538273953</v>
      </c>
      <c r="N7" s="35"/>
      <c r="O7" s="3"/>
      <c r="P7" s="3"/>
      <c r="Q7" s="3"/>
      <c r="R7" s="3"/>
      <c r="S7" s="3"/>
      <c r="T7" s="3"/>
      <c r="U7" s="3"/>
      <c r="V7" s="6"/>
      <c r="W7" s="3"/>
    </row>
    <row r="8" ht="30.0" customHeight="1">
      <c r="A8" s="6">
        <v>4.0</v>
      </c>
      <c r="B8" s="58" t="s">
        <v>1035</v>
      </c>
      <c r="C8" s="47" t="s">
        <v>1036</v>
      </c>
      <c r="D8" s="59">
        <v>0.0</v>
      </c>
      <c r="E8" s="59">
        <v>28.0597443580627</v>
      </c>
      <c r="F8" s="29" t="s">
        <v>1037</v>
      </c>
      <c r="G8" s="28">
        <v>0.0</v>
      </c>
      <c r="H8" s="28">
        <v>0.251621007919311</v>
      </c>
      <c r="I8" s="49" t="s">
        <v>1038</v>
      </c>
      <c r="J8" s="50">
        <v>0.0</v>
      </c>
      <c r="K8" s="50">
        <v>0.811073303222656</v>
      </c>
      <c r="L8" s="35">
        <f t="shared" si="1"/>
        <v>34.59581797</v>
      </c>
      <c r="M8" s="35">
        <v>34.59581796931582</v>
      </c>
      <c r="N8" s="35"/>
      <c r="O8" s="3"/>
      <c r="P8" s="3"/>
      <c r="Q8" s="3"/>
      <c r="R8" s="3"/>
      <c r="S8" s="3"/>
      <c r="T8" s="3"/>
      <c r="U8" s="3"/>
      <c r="V8" s="6"/>
      <c r="W8" s="3"/>
    </row>
    <row r="9" ht="30.0" customHeight="1">
      <c r="A9" s="6">
        <v>5.0</v>
      </c>
      <c r="B9" s="58" t="s">
        <v>1039</v>
      </c>
      <c r="C9" s="47"/>
      <c r="D9" s="59" t="s">
        <v>1040</v>
      </c>
      <c r="E9" s="59" t="s">
        <v>1040</v>
      </c>
      <c r="F9" s="29" t="s">
        <v>1041</v>
      </c>
      <c r="G9" s="28">
        <v>0.0042</v>
      </c>
      <c r="H9" s="28">
        <v>0.522510766983032</v>
      </c>
      <c r="I9" s="49" t="s">
        <v>1042</v>
      </c>
      <c r="J9" s="50">
        <v>0.0041897893</v>
      </c>
      <c r="K9" s="50">
        <v>0.0528326034545898</v>
      </c>
      <c r="L9" s="35" t="str">
        <f t="shared" si="1"/>
        <v>#VALUE!</v>
      </c>
      <c r="M9" s="35">
        <v>9.128761745851104</v>
      </c>
      <c r="N9" s="35"/>
      <c r="O9" s="3"/>
      <c r="P9" s="3"/>
      <c r="Q9" s="3"/>
      <c r="R9" s="3"/>
      <c r="S9" s="3"/>
      <c r="T9" s="3"/>
      <c r="U9" s="3"/>
      <c r="V9" s="6"/>
      <c r="W9" s="3"/>
    </row>
    <row r="10" ht="30.0" customHeight="1">
      <c r="A10" s="6">
        <v>6.0</v>
      </c>
      <c r="B10" s="58" t="s">
        <v>1043</v>
      </c>
      <c r="C10" s="47"/>
      <c r="D10" s="59" t="s">
        <v>1040</v>
      </c>
      <c r="E10" s="59" t="s">
        <v>1040</v>
      </c>
      <c r="F10" s="29" t="s">
        <v>1044</v>
      </c>
      <c r="G10" s="28">
        <v>0.0071</v>
      </c>
      <c r="H10" s="28">
        <v>0.536027431488037</v>
      </c>
      <c r="I10" s="49" t="s">
        <v>1045</v>
      </c>
      <c r="J10" s="50">
        <v>0.0070973635</v>
      </c>
      <c r="K10" s="50">
        <v>0.0358796119689941</v>
      </c>
      <c r="L10" s="35" t="str">
        <f t="shared" si="1"/>
        <v>#VALUE!</v>
      </c>
      <c r="M10" s="35">
        <v>19.03881761217277</v>
      </c>
      <c r="N10" s="35"/>
      <c r="O10" s="3"/>
      <c r="P10" s="3"/>
      <c r="Q10" s="3"/>
      <c r="R10" s="3"/>
      <c r="S10" s="3"/>
      <c r="T10" s="3"/>
      <c r="U10" s="3"/>
      <c r="V10" s="6"/>
      <c r="W10" s="3"/>
    </row>
    <row r="11" ht="30.0" customHeight="1">
      <c r="A11" s="6">
        <v>7.0</v>
      </c>
      <c r="B11" s="58" t="s">
        <v>1046</v>
      </c>
      <c r="C11" s="47"/>
      <c r="D11" s="59" t="s">
        <v>1040</v>
      </c>
      <c r="E11" s="59" t="s">
        <v>1040</v>
      </c>
      <c r="F11" s="29" t="s">
        <v>1047</v>
      </c>
      <c r="G11" s="28">
        <v>0.0</v>
      </c>
      <c r="H11" s="28">
        <v>0.381956100463867</v>
      </c>
      <c r="I11" s="49" t="s">
        <v>1048</v>
      </c>
      <c r="J11" s="50">
        <v>4.7147274E-5</v>
      </c>
      <c r="K11" s="50">
        <v>0.119308233261108</v>
      </c>
      <c r="L11" s="35" t="str">
        <f t="shared" si="1"/>
        <v>#VALUE!</v>
      </c>
      <c r="M11" s="35">
        <v>24.042998929643158</v>
      </c>
      <c r="N11" s="35"/>
      <c r="O11" s="3"/>
      <c r="P11" s="3"/>
      <c r="Q11" s="3"/>
      <c r="R11" s="3"/>
      <c r="S11" s="3"/>
      <c r="T11" s="3"/>
      <c r="U11" s="3"/>
      <c r="V11" s="6"/>
      <c r="W11" s="3"/>
    </row>
    <row r="12" ht="30.0" customHeight="1">
      <c r="A12" s="6">
        <v>8.0</v>
      </c>
      <c r="B12" s="58" t="s">
        <v>1049</v>
      </c>
      <c r="C12" s="47" t="s">
        <v>1050</v>
      </c>
      <c r="D12" s="59">
        <v>0.0</v>
      </c>
      <c r="E12" s="59">
        <v>33.1055557727813</v>
      </c>
      <c r="F12" s="29" t="s">
        <v>1051</v>
      </c>
      <c r="G12" s="28">
        <v>0.0</v>
      </c>
      <c r="H12" s="28">
        <v>0.939049243927002</v>
      </c>
      <c r="I12" s="49" t="s">
        <v>1052</v>
      </c>
      <c r="J12" s="50">
        <v>0.0</v>
      </c>
      <c r="K12" s="50">
        <v>3.62651109695434</v>
      </c>
      <c r="L12" s="35">
        <f t="shared" si="1"/>
        <v>9.128761746</v>
      </c>
      <c r="M12" s="35">
        <v>12.276711471186006</v>
      </c>
      <c r="N12" s="35"/>
      <c r="O12" s="3"/>
      <c r="P12" s="3"/>
      <c r="Q12" s="3"/>
      <c r="R12" s="3"/>
      <c r="S12" s="3"/>
      <c r="T12" s="3"/>
      <c r="U12" s="3"/>
      <c r="V12" s="6"/>
      <c r="W12" s="3"/>
    </row>
    <row r="13" ht="30.0" customHeight="1">
      <c r="A13" s="6">
        <v>9.0</v>
      </c>
      <c r="B13" s="58" t="s">
        <v>1053</v>
      </c>
      <c r="C13" s="47" t="s">
        <v>1054</v>
      </c>
      <c r="D13" s="59">
        <v>0.0</v>
      </c>
      <c r="E13" s="59">
        <v>31.770328760147</v>
      </c>
      <c r="F13" s="29" t="s">
        <v>1055</v>
      </c>
      <c r="G13" s="28">
        <v>0.0</v>
      </c>
      <c r="H13" s="28">
        <v>0.501481056213378</v>
      </c>
      <c r="I13" s="49" t="s">
        <v>1056</v>
      </c>
      <c r="J13" s="50">
        <v>0.0</v>
      </c>
      <c r="K13" s="50">
        <v>1.66871333122253</v>
      </c>
      <c r="L13" s="35">
        <f t="shared" si="1"/>
        <v>19.03881761</v>
      </c>
      <c r="M13" s="35">
        <v>14.507557542595581</v>
      </c>
      <c r="N13" s="35"/>
      <c r="O13" s="3"/>
      <c r="P13" s="3"/>
      <c r="Q13" s="3"/>
      <c r="R13" s="3"/>
      <c r="S13" s="3"/>
      <c r="T13" s="3"/>
      <c r="U13" s="3"/>
      <c r="V13" s="6"/>
      <c r="W13" s="3"/>
    </row>
    <row r="14" ht="30.0" customHeight="1">
      <c r="A14" s="6">
        <v>10.0</v>
      </c>
      <c r="B14" s="58" t="s">
        <v>1057</v>
      </c>
      <c r="C14" s="47" t="s">
        <v>1058</v>
      </c>
      <c r="D14" s="59">
        <v>0.0</v>
      </c>
      <c r="E14" s="59">
        <v>40.2626612186431</v>
      </c>
      <c r="F14" s="29" t="s">
        <v>1059</v>
      </c>
      <c r="G14" s="28">
        <v>0.0</v>
      </c>
      <c r="H14" s="28">
        <v>0.405999660491943</v>
      </c>
      <c r="I14" s="49" t="s">
        <v>1060</v>
      </c>
      <c r="J14" s="50">
        <v>0.0</v>
      </c>
      <c r="K14" s="50">
        <v>1.67461061477661</v>
      </c>
      <c r="L14" s="35">
        <f t="shared" si="1"/>
        <v>24.04299893</v>
      </c>
      <c r="M14" s="35">
        <v>146.06337258817769</v>
      </c>
      <c r="N14" s="35"/>
      <c r="O14" s="3"/>
      <c r="P14" s="3"/>
      <c r="Q14" s="3"/>
      <c r="R14" s="3"/>
      <c r="S14" s="3"/>
      <c r="T14" s="3"/>
      <c r="U14" s="3"/>
      <c r="V14" s="6"/>
      <c r="W14" s="3"/>
    </row>
    <row r="15" ht="30.0" customHeight="1">
      <c r="A15" s="6">
        <v>11.0</v>
      </c>
      <c r="B15" s="58" t="s">
        <v>1061</v>
      </c>
      <c r="C15" s="60" t="s">
        <v>1062</v>
      </c>
      <c r="D15" s="59">
        <v>0.0</v>
      </c>
      <c r="E15" s="59">
        <v>10.0335319042205</v>
      </c>
      <c r="F15" s="29" t="s">
        <v>1063</v>
      </c>
      <c r="G15" s="28">
        <v>0.0</v>
      </c>
      <c r="H15" s="28">
        <v>0.228000164031982</v>
      </c>
      <c r="I15" s="49" t="s">
        <v>1064</v>
      </c>
      <c r="J15" s="50">
        <v>0.0</v>
      </c>
      <c r="K15" s="50">
        <v>0.81728172302246</v>
      </c>
      <c r="L15" s="35">
        <f t="shared" si="1"/>
        <v>12.27671147</v>
      </c>
      <c r="M15" s="35">
        <v>48.51193671752636</v>
      </c>
      <c r="N15" s="35"/>
      <c r="O15" s="3"/>
      <c r="P15" s="3"/>
      <c r="Q15" s="3"/>
      <c r="R15" s="3"/>
      <c r="S15" s="3"/>
      <c r="T15" s="3"/>
      <c r="U15" s="3"/>
      <c r="V15" s="6"/>
      <c r="W15" s="3"/>
    </row>
    <row r="16" ht="30.0" customHeight="1">
      <c r="A16" s="6">
        <v>12.0</v>
      </c>
      <c r="B16" s="58" t="s">
        <v>1065</v>
      </c>
      <c r="C16" s="60"/>
      <c r="D16" s="59" t="s">
        <v>1040</v>
      </c>
      <c r="E16" s="59" t="s">
        <v>1040</v>
      </c>
      <c r="F16" s="29" t="s">
        <v>1066</v>
      </c>
      <c r="G16" s="28">
        <v>0.0042</v>
      </c>
      <c r="H16" s="28">
        <v>0.362010717391967</v>
      </c>
      <c r="I16" s="49" t="s">
        <v>1067</v>
      </c>
      <c r="J16" s="50">
        <v>0.0041897893</v>
      </c>
      <c r="K16" s="50">
        <v>0.0458467006683349</v>
      </c>
      <c r="L16" s="35" t="str">
        <f t="shared" si="1"/>
        <v>#VALUE!</v>
      </c>
      <c r="M16" s="35">
        <v>61.686925930914576</v>
      </c>
      <c r="N16" s="35"/>
      <c r="O16" s="3"/>
      <c r="P16" s="3"/>
      <c r="Q16" s="3"/>
      <c r="R16" s="3"/>
      <c r="S16" s="3"/>
      <c r="T16" s="3"/>
      <c r="U16" s="3"/>
      <c r="V16" s="6"/>
      <c r="W16" s="3"/>
    </row>
    <row r="17" ht="30.0" customHeight="1">
      <c r="A17" s="6">
        <v>13.0</v>
      </c>
      <c r="B17" s="58" t="s">
        <v>1068</v>
      </c>
      <c r="C17" s="60"/>
      <c r="D17" s="59" t="s">
        <v>1040</v>
      </c>
      <c r="E17" s="59" t="s">
        <v>1040</v>
      </c>
      <c r="F17" s="29" t="s">
        <v>1069</v>
      </c>
      <c r="G17" s="28">
        <v>0.0071</v>
      </c>
      <c r="H17" s="28">
        <v>0.465932607650756</v>
      </c>
      <c r="I17" s="49" t="s">
        <v>1070</v>
      </c>
      <c r="J17" s="50">
        <v>0.0070973635</v>
      </c>
      <c r="K17" s="50">
        <v>0.0338966846466064</v>
      </c>
      <c r="L17" s="35" t="str">
        <f t="shared" si="1"/>
        <v>#VALUE!</v>
      </c>
      <c r="M17" s="35">
        <v>2.357071557142109</v>
      </c>
      <c r="N17" s="35"/>
      <c r="O17" s="3"/>
      <c r="P17" s="3"/>
      <c r="Q17" s="3"/>
      <c r="R17" s="3"/>
      <c r="S17" s="3"/>
      <c r="T17" s="3"/>
      <c r="U17" s="3"/>
      <c r="V17" s="6"/>
      <c r="W17" s="3"/>
    </row>
    <row r="18" ht="30.0" customHeight="1">
      <c r="A18" s="6">
        <v>14.0</v>
      </c>
      <c r="B18" s="58" t="s">
        <v>1071</v>
      </c>
      <c r="C18" s="60"/>
      <c r="D18" s="59" t="s">
        <v>1040</v>
      </c>
      <c r="E18" s="59" t="s">
        <v>1040</v>
      </c>
      <c r="F18" s="29" t="s">
        <v>1072</v>
      </c>
      <c r="G18" s="28">
        <v>0.0013</v>
      </c>
      <c r="H18" s="28">
        <v>0.349552154541015</v>
      </c>
      <c r="I18" s="49" t="s">
        <v>1073</v>
      </c>
      <c r="J18" s="50">
        <v>0.0013378263</v>
      </c>
      <c r="K18" s="50">
        <v>0.113125562667846</v>
      </c>
      <c r="L18" s="35" t="str">
        <f t="shared" si="1"/>
        <v>#VALUE!</v>
      </c>
      <c r="M18" s="35">
        <v>4.7586502548946985</v>
      </c>
      <c r="N18" s="35"/>
      <c r="O18" s="3"/>
      <c r="P18" s="3"/>
      <c r="Q18" s="3"/>
      <c r="R18" s="3"/>
      <c r="S18" s="3"/>
      <c r="T18" s="3"/>
      <c r="U18" s="3"/>
      <c r="V18" s="6"/>
      <c r="W18" s="3"/>
    </row>
    <row r="19" ht="30.0" customHeight="1">
      <c r="A19" s="6">
        <v>15.0</v>
      </c>
      <c r="B19" s="58" t="s">
        <v>1074</v>
      </c>
      <c r="C19" s="60" t="s">
        <v>1075</v>
      </c>
      <c r="D19" s="59">
        <v>0.0</v>
      </c>
      <c r="E19" s="59">
        <v>51.3843722343444</v>
      </c>
      <c r="F19" s="29" t="s">
        <v>1076</v>
      </c>
      <c r="G19" s="28">
        <v>0.0</v>
      </c>
      <c r="H19" s="28">
        <v>0.895001888275146</v>
      </c>
      <c r="I19" s="49" t="s">
        <v>1077</v>
      </c>
      <c r="J19" s="50">
        <v>0.0</v>
      </c>
      <c r="K19" s="50">
        <v>3.54190373420715</v>
      </c>
      <c r="L19" s="35">
        <f t="shared" si="1"/>
        <v>14.50755754</v>
      </c>
      <c r="M19" s="35">
        <v>5.5272327987146355</v>
      </c>
      <c r="N19" s="35"/>
      <c r="O19" s="3"/>
      <c r="P19" s="3"/>
      <c r="Q19" s="3"/>
      <c r="R19" s="3"/>
      <c r="S19" s="3"/>
      <c r="T19" s="3"/>
      <c r="U19" s="3"/>
      <c r="V19" s="6"/>
      <c r="W19" s="3"/>
    </row>
    <row r="20" ht="30.0" customHeight="1">
      <c r="A20" s="6">
        <v>16.0</v>
      </c>
      <c r="B20" s="58" t="s">
        <v>1078</v>
      </c>
      <c r="C20" s="60" t="s">
        <v>1079</v>
      </c>
      <c r="D20" s="59">
        <v>0.0</v>
      </c>
      <c r="E20" s="59">
        <v>248.731063604354</v>
      </c>
      <c r="F20" s="29" t="s">
        <v>1080</v>
      </c>
      <c r="G20" s="28">
        <v>0.0</v>
      </c>
      <c r="H20" s="28">
        <v>0.44899845123291</v>
      </c>
      <c r="I20" s="49" t="s">
        <v>1081</v>
      </c>
      <c r="J20" s="50">
        <v>0.0</v>
      </c>
      <c r="K20" s="50">
        <v>1.70289826393127</v>
      </c>
      <c r="L20" s="35">
        <f t="shared" si="1"/>
        <v>146.0633726</v>
      </c>
      <c r="M20" s="35">
        <v>9.980692409677607</v>
      </c>
      <c r="N20" s="35"/>
      <c r="O20" s="3"/>
      <c r="P20" s="3"/>
      <c r="Q20" s="3"/>
      <c r="R20" s="3"/>
      <c r="S20" s="3"/>
      <c r="T20" s="3"/>
      <c r="U20" s="3"/>
      <c r="V20" s="6"/>
      <c r="W20" s="3"/>
    </row>
    <row r="21" ht="30.0" customHeight="1">
      <c r="A21" s="6">
        <v>17.0</v>
      </c>
      <c r="B21" s="58" t="s">
        <v>1082</v>
      </c>
      <c r="C21" s="60" t="s">
        <v>1083</v>
      </c>
      <c r="D21" s="61">
        <v>0.0</v>
      </c>
      <c r="E21" s="59">
        <v>80.674742937088</v>
      </c>
      <c r="F21" s="29" t="s">
        <v>1084</v>
      </c>
      <c r="G21" s="28">
        <v>0.0</v>
      </c>
      <c r="H21" s="28">
        <v>0.48799991607666</v>
      </c>
      <c r="I21" s="49" t="s">
        <v>1085</v>
      </c>
      <c r="J21" s="50">
        <v>0.0</v>
      </c>
      <c r="K21" s="50">
        <v>1.66298747062683</v>
      </c>
      <c r="L21" s="35">
        <f t="shared" si="1"/>
        <v>48.51193672</v>
      </c>
      <c r="M21" s="35">
        <v>0.47762776233406945</v>
      </c>
      <c r="N21" s="35"/>
      <c r="O21" s="3"/>
      <c r="P21" s="3"/>
      <c r="Q21" s="3"/>
      <c r="R21" s="3"/>
      <c r="S21" s="3"/>
      <c r="T21" s="3"/>
      <c r="U21" s="3"/>
      <c r="V21" s="6"/>
      <c r="W21" s="3"/>
    </row>
    <row r="22" ht="30.0" customHeight="1">
      <c r="A22" s="6">
        <v>18.0</v>
      </c>
      <c r="B22" s="58" t="s">
        <v>1086</v>
      </c>
      <c r="C22" s="60" t="s">
        <v>1087</v>
      </c>
      <c r="D22" s="59">
        <v>0.0</v>
      </c>
      <c r="E22" s="59">
        <v>47.2790133953094</v>
      </c>
      <c r="F22" s="29" t="s">
        <v>1088</v>
      </c>
      <c r="G22" s="28">
        <v>0.0</v>
      </c>
      <c r="H22" s="28">
        <v>0.225000143051147</v>
      </c>
      <c r="I22" s="49" t="s">
        <v>1089</v>
      </c>
      <c r="J22" s="50">
        <v>0.0</v>
      </c>
      <c r="K22" s="50">
        <v>0.766434907913208</v>
      </c>
      <c r="L22" s="35">
        <f t="shared" si="1"/>
        <v>61.68692593</v>
      </c>
      <c r="M22" s="35">
        <v>0.825760464512502</v>
      </c>
      <c r="N22" s="35"/>
      <c r="O22" s="3"/>
      <c r="P22" s="3"/>
      <c r="Q22" s="3"/>
      <c r="R22" s="3"/>
      <c r="S22" s="3"/>
      <c r="T22" s="3"/>
      <c r="U22" s="3"/>
      <c r="V22" s="6"/>
      <c r="W22" s="3"/>
    </row>
    <row r="23" ht="30.0" customHeight="1">
      <c r="A23" s="6">
        <v>19.0</v>
      </c>
      <c r="B23" s="58" t="s">
        <v>1090</v>
      </c>
      <c r="C23" s="60"/>
      <c r="D23" s="59" t="s">
        <v>1040</v>
      </c>
      <c r="E23" s="59" t="s">
        <v>1040</v>
      </c>
      <c r="F23" s="29" t="s">
        <v>1091</v>
      </c>
      <c r="G23" s="28">
        <v>0.0042</v>
      </c>
      <c r="H23" s="28">
        <v>0.362011671066284</v>
      </c>
      <c r="I23" s="49" t="s">
        <v>1092</v>
      </c>
      <c r="J23" s="50">
        <v>0.0041897893</v>
      </c>
      <c r="K23" s="50">
        <v>0.0428497791290283</v>
      </c>
      <c r="L23" s="35" t="str">
        <f t="shared" si="1"/>
        <v>#VALUE!</v>
      </c>
      <c r="M23" s="35">
        <v>0.46908244428330936</v>
      </c>
      <c r="N23" s="35"/>
      <c r="O23" s="3"/>
      <c r="P23" s="3"/>
      <c r="Q23" s="3"/>
      <c r="R23" s="3"/>
      <c r="S23" s="3"/>
      <c r="T23" s="3"/>
      <c r="U23" s="3"/>
      <c r="V23" s="6"/>
      <c r="W23" s="3"/>
    </row>
    <row r="24" ht="30.0" customHeight="1">
      <c r="A24" s="6">
        <v>20.0</v>
      </c>
      <c r="B24" s="58" t="s">
        <v>1093</v>
      </c>
      <c r="C24" s="60"/>
      <c r="D24" s="59" t="s">
        <v>1040</v>
      </c>
      <c r="E24" s="59" t="s">
        <v>1040</v>
      </c>
      <c r="F24" s="29" t="s">
        <v>1094</v>
      </c>
      <c r="G24" s="28">
        <v>0.0071</v>
      </c>
      <c r="H24" s="28">
        <v>0.546036720275878</v>
      </c>
      <c r="I24" s="49" t="s">
        <v>1095</v>
      </c>
      <c r="J24" s="50">
        <v>0.0070973635</v>
      </c>
      <c r="K24" s="50">
        <v>0.0368754863739013</v>
      </c>
      <c r="L24" s="35" t="str">
        <f t="shared" si="1"/>
        <v>#VALUE!</v>
      </c>
      <c r="M24" s="35">
        <v>0.9344570963232139</v>
      </c>
      <c r="N24" s="35"/>
      <c r="O24" s="3"/>
      <c r="P24" s="3"/>
      <c r="Q24" s="3"/>
      <c r="R24" s="3"/>
      <c r="S24" s="3"/>
      <c r="T24" s="3"/>
      <c r="U24" s="3"/>
      <c r="V24" s="6"/>
      <c r="W24" s="3"/>
    </row>
    <row r="25" ht="30.0" customHeight="1">
      <c r="A25" s="6">
        <v>21.0</v>
      </c>
      <c r="B25" s="58" t="s">
        <v>1096</v>
      </c>
      <c r="C25" s="47"/>
      <c r="D25" s="59" t="s">
        <v>1040</v>
      </c>
      <c r="E25" s="59" t="s">
        <v>1040</v>
      </c>
      <c r="F25" s="29" t="s">
        <v>1097</v>
      </c>
      <c r="G25" s="28">
        <v>0.0</v>
      </c>
      <c r="H25" s="28">
        <v>0.310007095336914</v>
      </c>
      <c r="I25" s="49" t="s">
        <v>1098</v>
      </c>
      <c r="J25" s="50">
        <v>4.7147274E-5</v>
      </c>
      <c r="K25" s="50">
        <v>0.120597124099731</v>
      </c>
      <c r="L25" s="35" t="str">
        <f t="shared" si="1"/>
        <v>#VALUE!</v>
      </c>
      <c r="M25" s="35">
        <v>377.0652307308302</v>
      </c>
      <c r="N25" s="35"/>
      <c r="O25" s="3"/>
      <c r="P25" s="3"/>
      <c r="Q25" s="3"/>
      <c r="R25" s="3"/>
      <c r="S25" s="3"/>
      <c r="T25" s="3"/>
      <c r="U25" s="3"/>
      <c r="V25" s="6"/>
      <c r="W25" s="3"/>
    </row>
    <row r="26" ht="30.0" customHeight="1">
      <c r="A26" s="6">
        <v>22.0</v>
      </c>
      <c r="B26" s="58" t="s">
        <v>1099</v>
      </c>
      <c r="C26" s="47" t="s">
        <v>1100</v>
      </c>
      <c r="D26" s="59">
        <v>0.0</v>
      </c>
      <c r="E26" s="59">
        <v>7.65656900405883</v>
      </c>
      <c r="F26" s="29" t="s">
        <v>1101</v>
      </c>
      <c r="G26" s="28">
        <v>0.0</v>
      </c>
      <c r="H26" s="28">
        <v>0.783000230789184</v>
      </c>
      <c r="I26" s="49" t="s">
        <v>1102</v>
      </c>
      <c r="J26" s="50">
        <v>0.0</v>
      </c>
      <c r="K26" s="50">
        <v>3.24833965301513</v>
      </c>
      <c r="L26" s="35">
        <f t="shared" si="1"/>
        <v>2.357071557</v>
      </c>
      <c r="M26" s="35">
        <v>284.97376193831815</v>
      </c>
      <c r="N26" s="35"/>
      <c r="O26" s="3"/>
      <c r="P26" s="3"/>
      <c r="Q26" s="3"/>
      <c r="R26" s="3"/>
      <c r="S26" s="3"/>
      <c r="T26" s="3"/>
      <c r="U26" s="3"/>
      <c r="V26" s="6"/>
      <c r="W26" s="3"/>
    </row>
    <row r="27" ht="30.0" customHeight="1">
      <c r="A27" s="6">
        <v>23.0</v>
      </c>
      <c r="B27" s="58" t="s">
        <v>1103</v>
      </c>
      <c r="C27" s="47" t="s">
        <v>1104</v>
      </c>
      <c r="D27" s="59">
        <v>0.0</v>
      </c>
      <c r="E27" s="59">
        <v>7.08207607269287</v>
      </c>
      <c r="F27" s="29" t="s">
        <v>1105</v>
      </c>
      <c r="G27" s="28">
        <v>0.0</v>
      </c>
      <c r="H27" s="28">
        <v>0.591004133224487</v>
      </c>
      <c r="I27" s="49" t="s">
        <v>1106</v>
      </c>
      <c r="J27" s="50">
        <v>0.0</v>
      </c>
      <c r="K27" s="50">
        <v>1.48825311660766</v>
      </c>
      <c r="L27" s="35">
        <f t="shared" si="1"/>
        <v>4.758650255</v>
      </c>
      <c r="M27" s="35">
        <v>433.6096666646122</v>
      </c>
      <c r="N27" s="35"/>
      <c r="O27" s="3"/>
      <c r="P27" s="3"/>
      <c r="Q27" s="3"/>
      <c r="R27" s="3"/>
      <c r="S27" s="3"/>
      <c r="T27" s="3"/>
      <c r="U27" s="3"/>
      <c r="V27" s="6"/>
      <c r="W27" s="3"/>
    </row>
    <row r="28" ht="30.0" customHeight="1">
      <c r="A28" s="6">
        <v>24.0</v>
      </c>
      <c r="B28" s="58" t="s">
        <v>1107</v>
      </c>
      <c r="C28" s="47" t="s">
        <v>1108</v>
      </c>
      <c r="D28" s="59">
        <v>0.0</v>
      </c>
      <c r="E28" s="59">
        <v>8.31156229972839</v>
      </c>
      <c r="F28" s="29" t="s">
        <v>1109</v>
      </c>
      <c r="G28" s="28">
        <v>0.0</v>
      </c>
      <c r="H28" s="28">
        <v>0.390100955963134</v>
      </c>
      <c r="I28" s="49" t="s">
        <v>1110</v>
      </c>
      <c r="J28" s="50">
        <v>0.0</v>
      </c>
      <c r="K28" s="50">
        <v>1.50374746322631</v>
      </c>
      <c r="L28" s="35">
        <f t="shared" si="1"/>
        <v>5.527232799</v>
      </c>
      <c r="M28" s="35">
        <v>0.23705599070866853</v>
      </c>
      <c r="N28" s="35"/>
      <c r="O28" s="3"/>
      <c r="P28" s="3"/>
      <c r="Q28" s="3"/>
      <c r="R28" s="3"/>
      <c r="S28" s="3"/>
      <c r="T28" s="3"/>
      <c r="U28" s="3"/>
      <c r="V28" s="6"/>
      <c r="W28" s="3"/>
    </row>
    <row r="29" ht="30.0" customHeight="1">
      <c r="A29" s="6">
        <v>25.0</v>
      </c>
      <c r="B29" s="58" t="s">
        <v>1111</v>
      </c>
      <c r="C29" s="47" t="s">
        <v>1112</v>
      </c>
      <c r="D29" s="59">
        <v>0.0</v>
      </c>
      <c r="E29" s="59">
        <v>7.16490387916564</v>
      </c>
      <c r="F29" s="29" t="s">
        <v>1113</v>
      </c>
      <c r="G29" s="28">
        <v>0.0</v>
      </c>
      <c r="H29" s="28">
        <v>0.206529140472412</v>
      </c>
      <c r="I29" s="49" t="s">
        <v>1114</v>
      </c>
      <c r="J29" s="50">
        <v>0.0</v>
      </c>
      <c r="K29" s="50">
        <v>0.717876434326171</v>
      </c>
      <c r="L29" s="35">
        <f t="shared" si="1"/>
        <v>9.98069241</v>
      </c>
      <c r="M29" s="35">
        <v>0.4224479391818743</v>
      </c>
      <c r="N29" s="35"/>
      <c r="O29" s="3"/>
      <c r="P29" s="3"/>
      <c r="Q29" s="3"/>
      <c r="R29" s="3"/>
      <c r="S29" s="3"/>
      <c r="T29" s="3"/>
      <c r="U29" s="3"/>
      <c r="V29" s="6"/>
      <c r="W29" s="3"/>
    </row>
    <row r="30" ht="30.0" customHeight="1">
      <c r="A30" s="6">
        <v>26.0</v>
      </c>
      <c r="B30" s="58" t="s">
        <v>1115</v>
      </c>
      <c r="C30" s="47"/>
      <c r="D30" s="59" t="s">
        <v>1040</v>
      </c>
      <c r="E30" s="59" t="s">
        <v>1040</v>
      </c>
      <c r="F30" s="29" t="s">
        <v>1116</v>
      </c>
      <c r="G30" s="28">
        <v>0.0042</v>
      </c>
      <c r="H30" s="28">
        <v>0.34399938583374</v>
      </c>
      <c r="I30" s="49" t="s">
        <v>1117</v>
      </c>
      <c r="J30" s="50">
        <v>0.0041897893</v>
      </c>
      <c r="K30" s="50">
        <v>0.0368831157684326</v>
      </c>
      <c r="L30" s="35" t="str">
        <f t="shared" si="1"/>
        <v>#VALUE!</v>
      </c>
      <c r="M30" s="35">
        <v>0.42038806196515066</v>
      </c>
      <c r="N30" s="35"/>
      <c r="O30" s="3"/>
      <c r="P30" s="3"/>
      <c r="Q30" s="3"/>
      <c r="R30" s="3"/>
      <c r="S30" s="3"/>
      <c r="T30" s="3"/>
      <c r="U30" s="3"/>
      <c r="V30" s="6"/>
      <c r="W30" s="3"/>
    </row>
    <row r="31" ht="30.0" customHeight="1">
      <c r="A31" s="6">
        <v>27.0</v>
      </c>
      <c r="B31" s="58" t="s">
        <v>1118</v>
      </c>
      <c r="C31" s="47"/>
      <c r="D31" s="59" t="s">
        <v>1040</v>
      </c>
      <c r="E31" s="59" t="s">
        <v>1040</v>
      </c>
      <c r="F31" s="29" t="s">
        <v>1119</v>
      </c>
      <c r="G31" s="28">
        <v>0.0071</v>
      </c>
      <c r="H31" s="28">
        <v>0.394051790237426</v>
      </c>
      <c r="I31" s="49" t="s">
        <v>1120</v>
      </c>
      <c r="J31" s="50">
        <v>0.0070973635</v>
      </c>
      <c r="K31" s="50">
        <v>0.023921251296997</v>
      </c>
      <c r="L31" s="35" t="str">
        <f t="shared" si="1"/>
        <v>#VALUE!</v>
      </c>
      <c r="M31" s="35">
        <v>0.884168405565544</v>
      </c>
      <c r="N31" s="35"/>
      <c r="O31" s="3"/>
      <c r="P31" s="3"/>
      <c r="Q31" s="3"/>
      <c r="R31" s="3"/>
      <c r="S31" s="3"/>
      <c r="T31" s="3"/>
      <c r="U31" s="3"/>
      <c r="V31" s="6"/>
      <c r="W31" s="3"/>
    </row>
    <row r="32" ht="30.0" customHeight="1">
      <c r="A32" s="6">
        <v>28.0</v>
      </c>
      <c r="B32" s="58" t="s">
        <v>1121</v>
      </c>
      <c r="C32" s="47"/>
      <c r="D32" s="59" t="s">
        <v>1040</v>
      </c>
      <c r="E32" s="59" t="s">
        <v>1040</v>
      </c>
      <c r="F32" s="29" t="s">
        <v>1122</v>
      </c>
      <c r="G32" s="28">
        <v>0.0013</v>
      </c>
      <c r="H32" s="28">
        <v>0.315000057220459</v>
      </c>
      <c r="I32" s="49" t="s">
        <v>1123</v>
      </c>
      <c r="J32" s="50">
        <v>0.0013378263</v>
      </c>
      <c r="K32" s="50">
        <v>0.0936775207519531</v>
      </c>
      <c r="L32" s="35" t="str">
        <f t="shared" si="1"/>
        <v>#VALUE!</v>
      </c>
      <c r="M32" s="35">
        <v>250.56985167299152</v>
      </c>
      <c r="N32" s="35"/>
      <c r="O32" s="3"/>
      <c r="P32" s="3"/>
      <c r="Q32" s="3"/>
      <c r="R32" s="3"/>
      <c r="S32" s="3"/>
      <c r="T32" s="3"/>
      <c r="U32" s="3"/>
      <c r="V32" s="6"/>
      <c r="W32" s="3"/>
    </row>
    <row r="33" ht="30.0" customHeight="1">
      <c r="A33" s="6">
        <v>29.0</v>
      </c>
      <c r="B33" s="58" t="s">
        <v>1124</v>
      </c>
      <c r="C33" s="47" t="s">
        <v>1125</v>
      </c>
      <c r="D33" s="59">
        <v>0.0</v>
      </c>
      <c r="E33" s="59">
        <v>1.22589778900146</v>
      </c>
      <c r="F33" s="29" t="s">
        <v>1126</v>
      </c>
      <c r="G33" s="28">
        <v>0.0</v>
      </c>
      <c r="H33" s="28">
        <v>0.507977485656738</v>
      </c>
      <c r="I33" s="49" t="s">
        <v>1127</v>
      </c>
      <c r="J33" s="50">
        <v>0.0</v>
      </c>
      <c r="K33" s="50">
        <v>2.56663846969604</v>
      </c>
      <c r="L33" s="35">
        <f t="shared" si="1"/>
        <v>0.4776277623</v>
      </c>
      <c r="M33" s="35">
        <v>190.58747081855068</v>
      </c>
      <c r="N33" s="35"/>
      <c r="O33" s="3"/>
      <c r="P33" s="3"/>
      <c r="Q33" s="3"/>
      <c r="R33" s="3"/>
      <c r="S33" s="3"/>
      <c r="T33" s="3"/>
      <c r="U33" s="3"/>
      <c r="V33" s="6"/>
      <c r="W33" s="3"/>
    </row>
    <row r="34" ht="30.0" customHeight="1">
      <c r="A34" s="6">
        <v>30.0</v>
      </c>
      <c r="B34" s="58" t="s">
        <v>1128</v>
      </c>
      <c r="C34" s="47" t="s">
        <v>1129</v>
      </c>
      <c r="D34" s="59">
        <v>0.0</v>
      </c>
      <c r="E34" s="59">
        <v>1.00628590583801</v>
      </c>
      <c r="F34" s="29" t="s">
        <v>1130</v>
      </c>
      <c r="G34" s="28">
        <v>0.0</v>
      </c>
      <c r="H34" s="28">
        <v>0.211999893188476</v>
      </c>
      <c r="I34" s="49" t="s">
        <v>1131</v>
      </c>
      <c r="J34" s="50">
        <v>0.0</v>
      </c>
      <c r="K34" s="50">
        <v>1.21861720085144</v>
      </c>
      <c r="L34" s="35">
        <f t="shared" si="1"/>
        <v>0.8257604645</v>
      </c>
      <c r="M34" s="35">
        <v>230.20183110452734</v>
      </c>
      <c r="N34" s="35"/>
      <c r="O34" s="3"/>
      <c r="P34" s="3"/>
      <c r="Q34" s="3"/>
      <c r="R34" s="3"/>
      <c r="S34" s="3"/>
      <c r="T34" s="3"/>
      <c r="U34" s="3"/>
      <c r="V34" s="6"/>
      <c r="W34" s="3"/>
    </row>
    <row r="35" ht="30.0" customHeight="1">
      <c r="A35" s="6">
        <v>31.0</v>
      </c>
      <c r="B35" s="58" t="s">
        <v>1132</v>
      </c>
      <c r="C35" s="47" t="s">
        <v>1133</v>
      </c>
      <c r="D35" s="59">
        <v>0.0</v>
      </c>
      <c r="E35" s="59">
        <v>0.574222326278686</v>
      </c>
      <c r="F35" s="29" t="s">
        <v>1134</v>
      </c>
      <c r="G35" s="28">
        <v>0.0</v>
      </c>
      <c r="H35" s="28">
        <v>0.199013948440551</v>
      </c>
      <c r="I35" s="49" t="s">
        <v>1135</v>
      </c>
      <c r="J35" s="50">
        <v>0.0</v>
      </c>
      <c r="K35" s="50">
        <v>1.22413945198059</v>
      </c>
      <c r="L35" s="35">
        <f t="shared" si="1"/>
        <v>0.4690824443</v>
      </c>
      <c r="M35" s="35">
        <v>0.30031130644213244</v>
      </c>
      <c r="N35" s="35"/>
      <c r="O35" s="3"/>
      <c r="P35" s="3"/>
      <c r="Q35" s="3"/>
      <c r="R35" s="3"/>
      <c r="S35" s="3"/>
      <c r="T35" s="3"/>
      <c r="U35" s="3"/>
      <c r="V35" s="6"/>
      <c r="W35" s="3"/>
    </row>
    <row r="36" ht="30.0" customHeight="1">
      <c r="A36" s="6">
        <v>32.0</v>
      </c>
      <c r="B36" s="58" t="s">
        <v>1136</v>
      </c>
      <c r="C36" s="47" t="s">
        <v>1137</v>
      </c>
      <c r="D36" s="59">
        <v>0.0</v>
      </c>
      <c r="E36" s="59">
        <v>0.520631551742553</v>
      </c>
      <c r="F36" s="29" t="s">
        <v>1138</v>
      </c>
      <c r="G36" s="28">
        <v>0.0</v>
      </c>
      <c r="H36" s="28">
        <v>0.11708927154541</v>
      </c>
      <c r="I36" s="49" t="s">
        <v>1139</v>
      </c>
      <c r="J36" s="50">
        <v>0.0</v>
      </c>
      <c r="K36" s="50">
        <v>0.557148694992065</v>
      </c>
      <c r="L36" s="35">
        <f t="shared" si="1"/>
        <v>0.9344570963</v>
      </c>
      <c r="M36" s="35">
        <v>0.6184522825433704</v>
      </c>
      <c r="N36" s="35"/>
      <c r="O36" s="3"/>
      <c r="P36" s="3"/>
      <c r="Q36" s="3"/>
      <c r="R36" s="3"/>
      <c r="S36" s="3"/>
      <c r="T36" s="3"/>
      <c r="U36" s="3"/>
      <c r="V36" s="6"/>
      <c r="W36" s="3"/>
    </row>
    <row r="37" ht="30.0" customHeight="1">
      <c r="A37" s="6">
        <v>33.0</v>
      </c>
      <c r="B37" s="58" t="s">
        <v>1140</v>
      </c>
      <c r="C37" s="47" t="s">
        <v>1141</v>
      </c>
      <c r="D37" s="59">
        <v>0.0044</v>
      </c>
      <c r="E37" s="59">
        <v>8.64391303062439</v>
      </c>
      <c r="F37" s="29" t="s">
        <v>1142</v>
      </c>
      <c r="G37" s="28">
        <v>0.0044</v>
      </c>
      <c r="H37" s="28">
        <v>0.10399055480957</v>
      </c>
      <c r="I37" s="49" t="s">
        <v>1143</v>
      </c>
      <c r="J37" s="50">
        <v>0.0043781996</v>
      </c>
      <c r="K37" s="50">
        <v>0.0229241847991943</v>
      </c>
      <c r="L37" s="35">
        <f t="shared" si="1"/>
        <v>377.0652307</v>
      </c>
      <c r="M37" s="35">
        <v>0.5667925335421843</v>
      </c>
      <c r="N37" s="35"/>
      <c r="O37" s="3"/>
      <c r="P37" s="3"/>
      <c r="Q37" s="3"/>
      <c r="R37" s="3"/>
      <c r="S37" s="3"/>
      <c r="T37" s="3"/>
      <c r="U37" s="3"/>
      <c r="V37" s="6"/>
      <c r="W37" s="3"/>
    </row>
    <row r="38" ht="30.0" customHeight="1">
      <c r="A38" s="6">
        <v>34.0</v>
      </c>
      <c r="B38" s="58" t="s">
        <v>1144</v>
      </c>
      <c r="C38" s="47" t="s">
        <v>1145</v>
      </c>
      <c r="D38" s="59">
        <v>0.0071</v>
      </c>
      <c r="E38" s="59">
        <v>4.53159689903259</v>
      </c>
      <c r="F38" s="29" t="s">
        <v>1146</v>
      </c>
      <c r="G38" s="28">
        <v>0.0071</v>
      </c>
      <c r="H38" s="28">
        <v>0.12200927734375</v>
      </c>
      <c r="I38" s="49" t="s">
        <v>1147</v>
      </c>
      <c r="J38" s="50">
        <v>0.0070973635</v>
      </c>
      <c r="K38" s="50">
        <v>0.0159018039703369</v>
      </c>
      <c r="L38" s="35">
        <f t="shared" si="1"/>
        <v>284.9737619</v>
      </c>
      <c r="M38" s="35">
        <v>1.1494924397914323</v>
      </c>
      <c r="N38" s="35"/>
      <c r="O38" s="3"/>
      <c r="P38" s="3"/>
      <c r="Q38" s="3"/>
      <c r="R38" s="3"/>
      <c r="S38" s="3"/>
      <c r="T38" s="3"/>
      <c r="U38" s="3"/>
      <c r="V38" s="6"/>
      <c r="W38" s="3"/>
    </row>
    <row r="39" ht="30.0" customHeight="1">
      <c r="A39" s="6">
        <v>35.0</v>
      </c>
      <c r="B39" s="58" t="s">
        <v>1148</v>
      </c>
      <c r="C39" s="47" t="s">
        <v>1149</v>
      </c>
      <c r="D39" s="59">
        <v>0.0</v>
      </c>
      <c r="E39" s="59">
        <v>33.5509333610534</v>
      </c>
      <c r="F39" s="29" t="s">
        <v>1150</v>
      </c>
      <c r="G39" s="28">
        <v>0.0</v>
      </c>
      <c r="H39" s="28">
        <v>0.135000228881835</v>
      </c>
      <c r="I39" s="49" t="s">
        <v>1151</v>
      </c>
      <c r="J39" s="50">
        <v>4.7147274E-5</v>
      </c>
      <c r="K39" s="50">
        <v>0.0773758888244628</v>
      </c>
      <c r="L39" s="35">
        <f t="shared" si="1"/>
        <v>433.6096667</v>
      </c>
      <c r="M39" s="35">
        <v>1422.597212389787</v>
      </c>
      <c r="N39" s="35"/>
      <c r="O39" s="3"/>
      <c r="P39" s="3"/>
      <c r="Q39" s="3"/>
      <c r="R39" s="3"/>
      <c r="S39" s="3"/>
      <c r="T39" s="3"/>
      <c r="U39" s="3"/>
      <c r="V39" s="6"/>
      <c r="W39" s="3"/>
    </row>
    <row r="40" ht="30.0" customHeight="1">
      <c r="A40" s="6">
        <v>36.0</v>
      </c>
      <c r="B40" s="58" t="s">
        <v>1152</v>
      </c>
      <c r="C40" s="47" t="s">
        <v>1153</v>
      </c>
      <c r="D40" s="59">
        <v>0.0</v>
      </c>
      <c r="E40" s="59">
        <v>0.597976684570312</v>
      </c>
      <c r="F40" s="29" t="s">
        <v>1154</v>
      </c>
      <c r="G40" s="28">
        <v>0.0</v>
      </c>
      <c r="H40" s="28">
        <v>0.401988983154296</v>
      </c>
      <c r="I40" s="49" t="s">
        <v>1155</v>
      </c>
      <c r="J40" s="50">
        <v>0.0</v>
      </c>
      <c r="K40" s="50">
        <v>2.52251243591308</v>
      </c>
      <c r="L40" s="35">
        <f t="shared" si="1"/>
        <v>0.2370559907</v>
      </c>
      <c r="M40" s="35">
        <v>1072.614860195622</v>
      </c>
      <c r="N40" s="35"/>
      <c r="O40" s="3"/>
      <c r="P40" s="3"/>
      <c r="Q40" s="3"/>
      <c r="R40" s="3"/>
      <c r="S40" s="3"/>
      <c r="T40" s="3"/>
      <c r="U40" s="3"/>
      <c r="V40" s="6"/>
      <c r="W40" s="3"/>
    </row>
    <row r="41" ht="30.0" customHeight="1">
      <c r="A41" s="6">
        <v>37.0</v>
      </c>
      <c r="B41" s="58" t="s">
        <v>1156</v>
      </c>
      <c r="C41" s="47" t="s">
        <v>1157</v>
      </c>
      <c r="D41" s="59">
        <v>0.0</v>
      </c>
      <c r="E41" s="59">
        <v>0.504189014434814</v>
      </c>
      <c r="F41" s="29" t="s">
        <v>1158</v>
      </c>
      <c r="G41" s="28">
        <v>0.0</v>
      </c>
      <c r="H41" s="28">
        <v>0.246008872985839</v>
      </c>
      <c r="I41" s="49" t="s">
        <v>1159</v>
      </c>
      <c r="J41" s="50">
        <v>0.0</v>
      </c>
      <c r="K41" s="50">
        <v>1.19349384307861</v>
      </c>
      <c r="L41" s="35">
        <f t="shared" si="1"/>
        <v>0.4224479392</v>
      </c>
      <c r="M41" s="35">
        <v>1890.4109206684175</v>
      </c>
      <c r="N41" s="35"/>
      <c r="O41" s="3"/>
      <c r="P41" s="3"/>
      <c r="Q41" s="3"/>
      <c r="R41" s="3"/>
      <c r="S41" s="3"/>
      <c r="T41" s="3"/>
      <c r="U41" s="3"/>
      <c r="V41" s="6"/>
      <c r="W41" s="3"/>
    </row>
    <row r="42" ht="30.0" customHeight="1">
      <c r="A42" s="6">
        <v>38.0</v>
      </c>
      <c r="B42" s="58" t="s">
        <v>1160</v>
      </c>
      <c r="C42" s="47" t="s">
        <v>1161</v>
      </c>
      <c r="D42" s="59">
        <v>0.0</v>
      </c>
      <c r="E42" s="59">
        <v>0.490353345870971</v>
      </c>
      <c r="F42" s="29" t="s">
        <v>1162</v>
      </c>
      <c r="G42" s="28">
        <v>0.0</v>
      </c>
      <c r="H42" s="28">
        <v>0.191989660263061</v>
      </c>
      <c r="I42" s="49" t="s">
        <v>1163</v>
      </c>
      <c r="J42" s="50">
        <v>0.0</v>
      </c>
      <c r="K42" s="50">
        <v>1.16643023490905</v>
      </c>
      <c r="L42" s="35">
        <f t="shared" si="1"/>
        <v>0.420388062</v>
      </c>
      <c r="M42" s="35">
        <v>1.3114594883651418</v>
      </c>
      <c r="N42" s="35"/>
      <c r="O42" s="3"/>
      <c r="P42" s="3"/>
      <c r="Q42" s="3"/>
      <c r="R42" s="3"/>
      <c r="S42" s="3"/>
      <c r="T42" s="3"/>
      <c r="U42" s="3"/>
      <c r="V42" s="6"/>
      <c r="W42" s="3"/>
    </row>
    <row r="43" ht="30.0" customHeight="1">
      <c r="A43" s="6">
        <v>39.0</v>
      </c>
      <c r="B43" s="58" t="s">
        <v>1164</v>
      </c>
      <c r="C43" s="47" t="s">
        <v>1165</v>
      </c>
      <c r="D43" s="59">
        <v>0.0</v>
      </c>
      <c r="E43" s="59">
        <v>0.473392963409423</v>
      </c>
      <c r="F43" s="29" t="s">
        <v>1166</v>
      </c>
      <c r="G43" s="28">
        <v>0.0</v>
      </c>
      <c r="H43" s="28">
        <v>0.0921189785003662</v>
      </c>
      <c r="I43" s="49" t="s">
        <v>1167</v>
      </c>
      <c r="J43" s="50">
        <v>0.0</v>
      </c>
      <c r="K43" s="50">
        <v>0.535410404205322</v>
      </c>
      <c r="L43" s="35">
        <f t="shared" si="1"/>
        <v>0.8841684056</v>
      </c>
      <c r="M43" s="35">
        <f>AVERAGE(M5:M42)</f>
        <v>173.4638576</v>
      </c>
      <c r="N43" s="35"/>
      <c r="O43" s="3"/>
      <c r="P43" s="3"/>
      <c r="Q43" s="3"/>
      <c r="R43" s="3"/>
      <c r="S43" s="3"/>
      <c r="T43" s="3"/>
      <c r="U43" s="3"/>
      <c r="V43" s="6"/>
      <c r="W43" s="3"/>
    </row>
    <row r="44" ht="30.0" customHeight="1">
      <c r="A44" s="6">
        <v>40.0</v>
      </c>
      <c r="B44" s="58" t="s">
        <v>1168</v>
      </c>
      <c r="C44" s="47" t="s">
        <v>1169</v>
      </c>
      <c r="D44" s="59">
        <v>0.0042</v>
      </c>
      <c r="E44" s="59">
        <v>4.50288105010986</v>
      </c>
      <c r="F44" s="29" t="s">
        <v>1170</v>
      </c>
      <c r="G44" s="28">
        <v>0.0042</v>
      </c>
      <c r="H44" s="28">
        <v>0.0740077495574951</v>
      </c>
      <c r="I44" s="49" t="s">
        <v>1171</v>
      </c>
      <c r="J44" s="50">
        <v>0.0041897893</v>
      </c>
      <c r="K44" s="50">
        <v>0.0179705619812011</v>
      </c>
      <c r="L44" s="35">
        <f t="shared" si="1"/>
        <v>250.5698517</v>
      </c>
      <c r="M44" s="35"/>
      <c r="N44" s="35"/>
      <c r="O44" s="3"/>
      <c r="P44" s="3"/>
      <c r="Q44" s="3"/>
      <c r="R44" s="3"/>
      <c r="S44" s="3"/>
      <c r="T44" s="3"/>
      <c r="U44" s="3"/>
      <c r="V44" s="6"/>
      <c r="W44" s="3"/>
    </row>
    <row r="45" ht="30.0" customHeight="1">
      <c r="A45" s="6">
        <v>41.0</v>
      </c>
      <c r="B45" s="58" t="s">
        <v>1172</v>
      </c>
      <c r="C45" s="47" t="s">
        <v>1173</v>
      </c>
      <c r="D45" s="59">
        <v>0.0088</v>
      </c>
      <c r="E45" s="59">
        <v>2.47195935249328</v>
      </c>
      <c r="F45" s="29" t="s">
        <v>1174</v>
      </c>
      <c r="G45" s="28">
        <v>0.0088</v>
      </c>
      <c r="H45" s="28">
        <v>0.107000827789306</v>
      </c>
      <c r="I45" s="49" t="s">
        <v>1175</v>
      </c>
      <c r="J45" s="50">
        <v>0.008794069</v>
      </c>
      <c r="K45" s="50">
        <v>0.0129702091217041</v>
      </c>
      <c r="L45" s="35">
        <f t="shared" si="1"/>
        <v>190.5874708</v>
      </c>
      <c r="M45" s="35"/>
      <c r="N45" s="35"/>
      <c r="O45" s="3"/>
      <c r="P45" s="3"/>
      <c r="Q45" s="3"/>
      <c r="R45" s="3"/>
      <c r="S45" s="3"/>
      <c r="T45" s="3"/>
      <c r="U45" s="3"/>
      <c r="V45" s="6"/>
      <c r="W45" s="3"/>
    </row>
    <row r="46" ht="30.0" customHeight="1">
      <c r="A46" s="6">
        <v>42.0</v>
      </c>
      <c r="B46" s="58" t="s">
        <v>1176</v>
      </c>
      <c r="C46" s="47" t="s">
        <v>1177</v>
      </c>
      <c r="D46" s="59">
        <v>0.0013</v>
      </c>
      <c r="E46" s="59">
        <v>16.7491252422332</v>
      </c>
      <c r="F46" s="29" t="s">
        <v>1178</v>
      </c>
      <c r="G46" s="28">
        <v>0.0013</v>
      </c>
      <c r="H46" s="28">
        <v>0.112001419067382</v>
      </c>
      <c r="I46" s="49" t="s">
        <v>1179</v>
      </c>
      <c r="J46" s="50">
        <v>0.0013378263</v>
      </c>
      <c r="K46" s="50">
        <v>0.0727584362030029</v>
      </c>
      <c r="L46" s="35">
        <f t="shared" si="1"/>
        <v>230.2018311</v>
      </c>
      <c r="M46" s="35"/>
      <c r="N46" s="35"/>
      <c r="O46" s="3"/>
      <c r="P46" s="3"/>
      <c r="Q46" s="3"/>
      <c r="R46" s="3"/>
      <c r="S46" s="3"/>
      <c r="T46" s="3"/>
      <c r="U46" s="3"/>
      <c r="V46" s="6"/>
      <c r="W46" s="3"/>
    </row>
    <row r="47" ht="30.0" customHeight="1">
      <c r="A47" s="6">
        <v>43.0</v>
      </c>
      <c r="B47" s="58" t="s">
        <v>1180</v>
      </c>
      <c r="C47" s="47" t="s">
        <v>1181</v>
      </c>
      <c r="D47" s="59">
        <v>0.0</v>
      </c>
      <c r="E47" s="59">
        <v>0.880500555038452</v>
      </c>
      <c r="F47" s="29" t="s">
        <v>1182</v>
      </c>
      <c r="G47" s="28">
        <v>0.0</v>
      </c>
      <c r="H47" s="28">
        <v>0.546991348266601</v>
      </c>
      <c r="I47" s="49" t="s">
        <v>1183</v>
      </c>
      <c r="J47" s="50">
        <v>0.0</v>
      </c>
      <c r="K47" s="50">
        <v>2.93195939064025</v>
      </c>
      <c r="L47" s="35">
        <f t="shared" si="1"/>
        <v>0.3003113064</v>
      </c>
      <c r="M47" s="35"/>
      <c r="N47" s="35"/>
      <c r="O47" s="3"/>
      <c r="P47" s="3"/>
      <c r="Q47" s="3"/>
      <c r="R47" s="3"/>
      <c r="S47" s="3"/>
      <c r="T47" s="3"/>
      <c r="U47" s="3"/>
      <c r="V47" s="6"/>
      <c r="W47" s="3"/>
    </row>
    <row r="48" ht="30.0" customHeight="1">
      <c r="A48" s="6">
        <v>44.0</v>
      </c>
      <c r="B48" s="58" t="s">
        <v>1184</v>
      </c>
      <c r="C48" s="47" t="s">
        <v>1185</v>
      </c>
      <c r="D48" s="59">
        <v>0.0</v>
      </c>
      <c r="E48" s="59">
        <v>0.831223964691162</v>
      </c>
      <c r="F48" s="29" t="s">
        <v>1186</v>
      </c>
      <c r="G48" s="28">
        <v>0.0</v>
      </c>
      <c r="H48" s="28">
        <v>0.451774358749389</v>
      </c>
      <c r="I48" s="49" t="s">
        <v>1187</v>
      </c>
      <c r="J48" s="50">
        <v>0.0</v>
      </c>
      <c r="K48" s="50">
        <v>1.34403896331787</v>
      </c>
      <c r="L48" s="35">
        <f t="shared" si="1"/>
        <v>0.6184522825</v>
      </c>
      <c r="M48" s="35"/>
      <c r="N48" s="35"/>
      <c r="O48" s="3"/>
      <c r="P48" s="3"/>
      <c r="Q48" s="3"/>
      <c r="R48" s="3"/>
      <c r="S48" s="3"/>
      <c r="T48" s="3"/>
      <c r="U48" s="3"/>
      <c r="V48" s="6"/>
      <c r="W48" s="3"/>
    </row>
    <row r="49" ht="30.0" customHeight="1">
      <c r="A49" s="6">
        <v>45.0</v>
      </c>
      <c r="B49" s="58" t="s">
        <v>1188</v>
      </c>
      <c r="C49" s="47" t="s">
        <v>1189</v>
      </c>
      <c r="D49" s="59">
        <v>0.0</v>
      </c>
      <c r="E49" s="59">
        <v>0.761951923370361</v>
      </c>
      <c r="F49" s="29" t="s">
        <v>1190</v>
      </c>
      <c r="G49" s="28">
        <v>0.0</v>
      </c>
      <c r="H49" s="28">
        <v>0.255069732666015</v>
      </c>
      <c r="I49" s="49" t="s">
        <v>1191</v>
      </c>
      <c r="J49" s="50">
        <v>0.0</v>
      </c>
      <c r="K49" s="50">
        <v>1.34432244300842</v>
      </c>
      <c r="L49" s="35">
        <f t="shared" si="1"/>
        <v>0.5667925335</v>
      </c>
      <c r="M49" s="35"/>
      <c r="N49" s="35"/>
      <c r="O49" s="3"/>
      <c r="P49" s="3"/>
      <c r="Q49" s="3"/>
      <c r="R49" s="3"/>
      <c r="S49" s="3"/>
      <c r="T49" s="3"/>
      <c r="U49" s="3"/>
      <c r="V49" s="6"/>
      <c r="W49" s="3"/>
    </row>
    <row r="50" ht="30.0" customHeight="1">
      <c r="A50" s="6">
        <v>46.0</v>
      </c>
      <c r="B50" s="58" t="s">
        <v>1192</v>
      </c>
      <c r="C50" s="47" t="s">
        <v>1193</v>
      </c>
      <c r="D50" s="59">
        <v>0.0</v>
      </c>
      <c r="E50" s="59">
        <v>0.749621391296386</v>
      </c>
      <c r="F50" s="29" t="s">
        <v>1194</v>
      </c>
      <c r="G50" s="28">
        <v>0.0</v>
      </c>
      <c r="H50" s="28">
        <v>0.135001897811889</v>
      </c>
      <c r="I50" s="49" t="s">
        <v>1195</v>
      </c>
      <c r="J50" s="50">
        <v>0.0</v>
      </c>
      <c r="K50" s="50">
        <v>0.652132511138916</v>
      </c>
      <c r="L50" s="35">
        <f t="shared" si="1"/>
        <v>1.14949244</v>
      </c>
      <c r="M50" s="35"/>
      <c r="N50" s="35"/>
      <c r="O50" s="3"/>
      <c r="P50" s="3"/>
      <c r="Q50" s="3"/>
      <c r="R50" s="3"/>
      <c r="S50" s="3"/>
      <c r="T50" s="3"/>
      <c r="U50" s="3"/>
      <c r="V50" s="6"/>
      <c r="W50" s="3"/>
    </row>
    <row r="51" ht="30.0" customHeight="1">
      <c r="A51" s="6">
        <v>47.0</v>
      </c>
      <c r="B51" s="58" t="s">
        <v>1196</v>
      </c>
      <c r="C51" s="47" t="s">
        <v>1197</v>
      </c>
      <c r="D51" s="59">
        <v>0.0044</v>
      </c>
      <c r="E51" s="59">
        <v>36.8908956050872</v>
      </c>
      <c r="F51" s="29" t="s">
        <v>1198</v>
      </c>
      <c r="G51" s="28">
        <v>0.0044</v>
      </c>
      <c r="H51" s="28">
        <v>0.192002058029174</v>
      </c>
      <c r="I51" s="49" t="s">
        <v>1199</v>
      </c>
      <c r="J51" s="50">
        <v>0.0043781996</v>
      </c>
      <c r="K51" s="50">
        <v>0.0259320735931396</v>
      </c>
      <c r="L51" s="35">
        <f t="shared" si="1"/>
        <v>1422.597212</v>
      </c>
      <c r="M51" s="35"/>
      <c r="N51" s="35"/>
      <c r="O51" s="3"/>
      <c r="P51" s="3"/>
      <c r="Q51" s="3"/>
      <c r="R51" s="3"/>
      <c r="S51" s="3"/>
      <c r="T51" s="3"/>
      <c r="U51" s="3"/>
      <c r="V51" s="6"/>
      <c r="W51" s="3"/>
    </row>
    <row r="52" ht="30.0" customHeight="1">
      <c r="A52" s="6">
        <v>48.0</v>
      </c>
      <c r="B52" s="58" t="s">
        <v>1200</v>
      </c>
      <c r="C52" s="47" t="s">
        <v>1201</v>
      </c>
      <c r="D52" s="59">
        <v>0.0071</v>
      </c>
      <c r="E52" s="59">
        <v>19.2432696819305</v>
      </c>
      <c r="F52" s="29" t="s">
        <v>1202</v>
      </c>
      <c r="G52" s="28">
        <v>0.0071</v>
      </c>
      <c r="H52" s="28">
        <v>0.170000553131103</v>
      </c>
      <c r="I52" s="49" t="s">
        <v>1203</v>
      </c>
      <c r="J52" s="50">
        <v>0.0070973635</v>
      </c>
      <c r="K52" s="50">
        <v>0.0179405212402343</v>
      </c>
      <c r="L52" s="35">
        <f t="shared" si="1"/>
        <v>1072.61486</v>
      </c>
      <c r="M52" s="35"/>
      <c r="N52" s="35"/>
      <c r="O52" s="3"/>
      <c r="P52" s="3"/>
      <c r="Q52" s="3"/>
      <c r="R52" s="3"/>
      <c r="S52" s="3"/>
      <c r="T52" s="3"/>
      <c r="U52" s="3"/>
      <c r="V52" s="6"/>
      <c r="W52" s="3"/>
    </row>
    <row r="53" ht="30.0" customHeight="1">
      <c r="A53" s="6">
        <v>49.0</v>
      </c>
      <c r="B53" s="58" t="s">
        <v>1204</v>
      </c>
      <c r="C53" s="47" t="s">
        <v>1205</v>
      </c>
      <c r="D53" s="59">
        <v>0.0013</v>
      </c>
      <c r="E53" s="59">
        <v>146.941978931427</v>
      </c>
      <c r="F53" s="29" t="s">
        <v>1206</v>
      </c>
      <c r="G53" s="28">
        <v>0.0013</v>
      </c>
      <c r="H53" s="28">
        <v>0.185993671417236</v>
      </c>
      <c r="I53" s="49" t="s">
        <v>1207</v>
      </c>
      <c r="J53" s="50">
        <v>0.0013378263</v>
      </c>
      <c r="K53" s="50">
        <v>0.0777301788330078</v>
      </c>
      <c r="L53" s="35">
        <f t="shared" si="1"/>
        <v>1890.410921</v>
      </c>
      <c r="M53" s="35"/>
      <c r="N53" s="35"/>
      <c r="O53" s="3"/>
      <c r="P53" s="3"/>
      <c r="Q53" s="3"/>
      <c r="R53" s="3"/>
      <c r="S53" s="3"/>
      <c r="T53" s="3"/>
      <c r="U53" s="3"/>
      <c r="V53" s="6"/>
      <c r="W53" s="3"/>
    </row>
    <row r="54" ht="30.0" customHeight="1">
      <c r="A54" s="6">
        <v>50.0</v>
      </c>
      <c r="B54" s="58" t="s">
        <v>1208</v>
      </c>
      <c r="C54" s="47" t="s">
        <v>1209</v>
      </c>
      <c r="D54" s="59">
        <v>0.0</v>
      </c>
      <c r="E54" s="59">
        <v>1.90849113464355</v>
      </c>
      <c r="F54" s="29" t="s">
        <v>1210</v>
      </c>
      <c r="G54" s="28">
        <v>0.0</v>
      </c>
      <c r="H54" s="28">
        <v>0.378495454788208</v>
      </c>
      <c r="I54" s="49" t="s">
        <v>1211</v>
      </c>
      <c r="J54" s="50">
        <v>0.0</v>
      </c>
      <c r="K54" s="50">
        <v>1.45524215698242</v>
      </c>
      <c r="L54" s="35">
        <f t="shared" si="1"/>
        <v>1.311459488</v>
      </c>
      <c r="M54" s="35"/>
      <c r="N54" s="35"/>
      <c r="O54" s="3"/>
      <c r="P54" s="3"/>
      <c r="Q54" s="3"/>
      <c r="R54" s="3"/>
      <c r="S54" s="3"/>
      <c r="T54" s="3"/>
      <c r="U54" s="3"/>
      <c r="V54" s="6"/>
      <c r="W54" s="3"/>
    </row>
    <row r="55" ht="19.5" customHeight="1">
      <c r="A55" s="39"/>
      <c r="B55" s="2"/>
      <c r="C55" s="2"/>
      <c r="D55" s="62">
        <f t="shared" ref="D55:E55" si="2">AVERAGE(D5:D54)</f>
        <v>0.001015789474</v>
      </c>
      <c r="E55" s="62">
        <f t="shared" si="2"/>
        <v>25.56625956</v>
      </c>
      <c r="F55" s="2"/>
      <c r="G55" s="2"/>
      <c r="H55" s="38">
        <f>SUM(H5:H54)</f>
        <v>18.39659333</v>
      </c>
      <c r="I55" s="3"/>
      <c r="J55" s="3"/>
      <c r="K55" s="49">
        <f>SUM(K5:K54)</f>
        <v>50.95352674</v>
      </c>
      <c r="L55" s="35" t="str">
        <f>AVERAGE(L5:L54)</f>
        <v>#VALUE!</v>
      </c>
      <c r="M55" s="2"/>
      <c r="N55" s="2"/>
      <c r="O55" s="3"/>
      <c r="P55" s="3"/>
      <c r="Q55" s="3"/>
      <c r="R55" s="3"/>
      <c r="S55" s="3"/>
      <c r="T55" s="3"/>
      <c r="U55" s="3"/>
      <c r="V55" s="6"/>
      <c r="W55" s="3"/>
    </row>
    <row r="56" ht="19.5" customHeight="1">
      <c r="A56" s="39"/>
      <c r="B56" s="2"/>
      <c r="C56" s="2"/>
      <c r="D56" s="2"/>
      <c r="E56" s="2"/>
      <c r="F56" s="2"/>
      <c r="G56" s="2"/>
      <c r="H56" s="2"/>
      <c r="I56" s="3"/>
      <c r="J56" s="3"/>
      <c r="K56" s="3"/>
      <c r="L56" s="2"/>
      <c r="M56" s="2"/>
      <c r="N56" s="2"/>
      <c r="O56" s="3"/>
      <c r="P56" s="3"/>
      <c r="Q56" s="3"/>
      <c r="R56" s="3"/>
      <c r="S56" s="3"/>
      <c r="T56" s="3"/>
      <c r="U56" s="3"/>
      <c r="V56" s="6"/>
      <c r="W56" s="3"/>
    </row>
    <row r="57" ht="19.5" customHeight="1">
      <c r="A57" s="39"/>
      <c r="B57" s="2"/>
      <c r="C57" s="2"/>
      <c r="D57" s="2"/>
      <c r="E57" s="2"/>
      <c r="F57" s="2"/>
      <c r="G57" s="2"/>
      <c r="H57" s="2"/>
      <c r="I57" s="3"/>
      <c r="J57" s="3"/>
      <c r="K57" s="3"/>
      <c r="L57" s="2"/>
      <c r="M57" s="2"/>
      <c r="N57" s="2"/>
      <c r="O57" s="3"/>
      <c r="P57" s="3"/>
      <c r="Q57" s="3"/>
      <c r="R57" s="3"/>
      <c r="S57" s="3"/>
      <c r="T57" s="3"/>
      <c r="U57" s="3"/>
      <c r="V57" s="6"/>
      <c r="W57" s="3"/>
    </row>
    <row r="58" ht="19.5" customHeight="1">
      <c r="A58" s="39"/>
      <c r="B58" s="2"/>
      <c r="C58" s="2"/>
      <c r="D58" s="2"/>
      <c r="E58" s="2"/>
      <c r="F58" s="2"/>
      <c r="G58" s="2"/>
      <c r="H58" s="2"/>
      <c r="I58" s="3"/>
      <c r="J58" s="3"/>
      <c r="K58" s="3"/>
      <c r="L58" s="2"/>
      <c r="M58" s="2"/>
      <c r="N58" s="2"/>
      <c r="O58" s="3"/>
      <c r="P58" s="3"/>
      <c r="Q58" s="3"/>
      <c r="R58" s="3"/>
      <c r="S58" s="3"/>
      <c r="T58" s="3"/>
      <c r="U58" s="3"/>
      <c r="V58" s="6"/>
      <c r="W58" s="3"/>
    </row>
    <row r="59" ht="19.5" customHeight="1">
      <c r="A59" s="39"/>
      <c r="B59" s="2"/>
      <c r="C59" s="2"/>
      <c r="D59" s="2"/>
      <c r="E59" s="2"/>
      <c r="F59" s="2"/>
      <c r="G59" s="2"/>
      <c r="H59" s="2"/>
      <c r="I59" s="3"/>
      <c r="J59" s="3"/>
      <c r="K59" s="3"/>
      <c r="L59" s="2"/>
      <c r="M59" s="2"/>
      <c r="N59" s="2"/>
      <c r="O59" s="3"/>
      <c r="P59" s="3"/>
      <c r="Q59" s="3"/>
      <c r="R59" s="3"/>
      <c r="S59" s="3"/>
      <c r="T59" s="3"/>
      <c r="U59" s="3"/>
      <c r="V59" s="6"/>
      <c r="W59" s="3"/>
    </row>
    <row r="60" ht="19.5" customHeight="1">
      <c r="A60" s="39"/>
      <c r="B60" s="2"/>
      <c r="C60" s="2"/>
      <c r="D60" s="2"/>
      <c r="E60" s="2"/>
      <c r="F60" s="2"/>
      <c r="G60" s="2"/>
      <c r="H60" s="2"/>
      <c r="I60" s="3"/>
      <c r="J60" s="3"/>
      <c r="K60" s="3"/>
      <c r="L60" s="2"/>
      <c r="M60" s="2"/>
      <c r="N60" s="2"/>
      <c r="O60" s="3"/>
      <c r="P60" s="3"/>
      <c r="Q60" s="3"/>
      <c r="R60" s="3"/>
      <c r="S60" s="3"/>
      <c r="T60" s="3"/>
      <c r="U60" s="3"/>
      <c r="V60" s="6"/>
      <c r="W60" s="3"/>
    </row>
    <row r="61" ht="19.5" customHeight="1">
      <c r="A61" s="39"/>
      <c r="B61" s="2"/>
      <c r="C61" s="2"/>
      <c r="D61" s="2"/>
      <c r="E61" s="2"/>
      <c r="F61" s="2"/>
      <c r="G61" s="2"/>
      <c r="H61" s="2"/>
      <c r="I61" s="3"/>
      <c r="J61" s="3"/>
      <c r="K61" s="3"/>
      <c r="L61" s="2"/>
      <c r="M61" s="2"/>
      <c r="N61" s="2"/>
      <c r="O61" s="3"/>
      <c r="P61" s="3"/>
      <c r="Q61" s="3"/>
      <c r="R61" s="3"/>
      <c r="S61" s="3"/>
      <c r="T61" s="3"/>
      <c r="U61" s="3"/>
      <c r="V61" s="6"/>
      <c r="W61" s="3"/>
    </row>
    <row r="62" ht="19.5" customHeight="1">
      <c r="A62" s="39"/>
      <c r="B62" s="2"/>
      <c r="C62" s="2"/>
      <c r="D62" s="2"/>
      <c r="E62" s="2"/>
      <c r="F62" s="2"/>
      <c r="G62" s="2"/>
      <c r="H62" s="2"/>
      <c r="I62" s="3"/>
      <c r="J62" s="3"/>
      <c r="K62" s="3"/>
      <c r="L62" s="2"/>
      <c r="M62" s="2"/>
      <c r="N62" s="2"/>
      <c r="O62" s="3"/>
      <c r="P62" s="3"/>
      <c r="Q62" s="3"/>
      <c r="R62" s="3"/>
      <c r="S62" s="3"/>
      <c r="T62" s="3"/>
      <c r="U62" s="3"/>
      <c r="V62" s="6"/>
      <c r="W62" s="3"/>
    </row>
    <row r="63" ht="19.5" customHeight="1">
      <c r="A63" s="39"/>
      <c r="B63" s="2"/>
      <c r="C63" s="2"/>
      <c r="D63" s="2"/>
      <c r="E63" s="2"/>
      <c r="F63" s="2"/>
      <c r="G63" s="2"/>
      <c r="H63" s="2"/>
      <c r="I63" s="3"/>
      <c r="J63" s="3"/>
      <c r="K63" s="3"/>
      <c r="L63" s="2"/>
      <c r="M63" s="2"/>
      <c r="N63" s="2"/>
      <c r="O63" s="3"/>
      <c r="P63" s="3"/>
      <c r="Q63" s="3"/>
      <c r="R63" s="3"/>
      <c r="S63" s="3"/>
      <c r="T63" s="3"/>
      <c r="U63" s="3"/>
      <c r="V63" s="6"/>
      <c r="W63" s="3"/>
    </row>
    <row r="64" ht="19.5" customHeight="1">
      <c r="A64" s="39"/>
      <c r="B64" s="2"/>
      <c r="C64" s="2"/>
      <c r="D64" s="2"/>
      <c r="E64" s="2"/>
      <c r="F64" s="2"/>
      <c r="G64" s="2"/>
      <c r="H64" s="2"/>
      <c r="I64" s="3"/>
      <c r="J64" s="3"/>
      <c r="K64" s="3"/>
      <c r="L64" s="2"/>
      <c r="M64" s="2"/>
      <c r="N64" s="2"/>
      <c r="O64" s="3"/>
      <c r="P64" s="3"/>
      <c r="Q64" s="3"/>
      <c r="R64" s="3"/>
      <c r="S64" s="3"/>
      <c r="T64" s="3"/>
      <c r="U64" s="3"/>
      <c r="V64" s="6"/>
      <c r="W64" s="3"/>
    </row>
    <row r="65" ht="19.5" customHeight="1">
      <c r="A65" s="39"/>
      <c r="B65" s="2"/>
      <c r="C65" s="2"/>
      <c r="D65" s="2"/>
      <c r="E65" s="2"/>
      <c r="F65" s="2"/>
      <c r="G65" s="2"/>
      <c r="H65" s="2"/>
      <c r="I65" s="3"/>
      <c r="J65" s="3"/>
      <c r="K65" s="3"/>
      <c r="L65" s="2"/>
      <c r="M65" s="2"/>
      <c r="N65" s="2"/>
      <c r="O65" s="3"/>
      <c r="P65" s="3"/>
      <c r="Q65" s="3"/>
      <c r="R65" s="3"/>
      <c r="S65" s="3"/>
      <c r="T65" s="3"/>
      <c r="U65" s="3"/>
      <c r="V65" s="6"/>
      <c r="W65" s="3"/>
    </row>
    <row r="66" ht="12.75" customHeight="1">
      <c r="A66" s="39"/>
      <c r="B66" s="2"/>
      <c r="C66" s="2"/>
      <c r="D66" s="2"/>
      <c r="E66" s="2"/>
      <c r="F66" s="2"/>
      <c r="G66" s="2"/>
      <c r="H66" s="2"/>
      <c r="I66" s="3"/>
      <c r="J66" s="3"/>
      <c r="K66" s="3"/>
      <c r="L66" s="2"/>
      <c r="M66" s="2"/>
      <c r="N66" s="2"/>
      <c r="O66" s="3"/>
      <c r="P66" s="3"/>
      <c r="Q66" s="3"/>
      <c r="R66" s="3"/>
      <c r="S66" s="3"/>
      <c r="T66" s="3"/>
      <c r="U66" s="3"/>
      <c r="V66" s="6"/>
      <c r="W66" s="3"/>
    </row>
    <row r="67" ht="12.75" customHeight="1">
      <c r="A67" s="39"/>
      <c r="B67" s="2"/>
      <c r="C67" s="2"/>
      <c r="D67" s="2"/>
      <c r="E67" s="2"/>
      <c r="F67" s="2"/>
      <c r="G67" s="2"/>
      <c r="H67" s="2"/>
      <c r="I67" s="3"/>
      <c r="J67" s="3"/>
      <c r="K67" s="3"/>
      <c r="L67" s="2"/>
      <c r="M67" s="2"/>
      <c r="N67" s="2"/>
      <c r="O67" s="3"/>
      <c r="P67" s="3"/>
      <c r="Q67" s="3"/>
      <c r="R67" s="3"/>
      <c r="S67" s="3"/>
      <c r="T67" s="3"/>
      <c r="U67" s="3"/>
      <c r="V67" s="6"/>
      <c r="W67" s="3"/>
    </row>
    <row r="68" ht="12.75" customHeight="1">
      <c r="A68" s="39"/>
      <c r="B68" s="2"/>
      <c r="C68" s="2"/>
      <c r="D68" s="2"/>
      <c r="E68" s="2"/>
      <c r="F68" s="2"/>
      <c r="G68" s="2"/>
      <c r="H68" s="2"/>
      <c r="I68" s="3"/>
      <c r="J68" s="3"/>
      <c r="K68" s="3"/>
      <c r="L68" s="2"/>
      <c r="M68" s="2"/>
      <c r="N68" s="2"/>
      <c r="O68" s="3"/>
      <c r="P68" s="3"/>
      <c r="Q68" s="3"/>
      <c r="R68" s="3"/>
      <c r="S68" s="3"/>
      <c r="T68" s="3"/>
      <c r="U68" s="3"/>
      <c r="V68" s="6"/>
      <c r="W68" s="3"/>
    </row>
    <row r="69" ht="12.75" customHeight="1">
      <c r="A69" s="39"/>
      <c r="B69" s="2"/>
      <c r="C69" s="2"/>
      <c r="D69" s="2"/>
      <c r="E69" s="2"/>
      <c r="F69" s="2"/>
      <c r="G69" s="2"/>
      <c r="H69" s="2"/>
      <c r="I69" s="3"/>
      <c r="J69" s="3"/>
      <c r="K69" s="3"/>
      <c r="L69" s="2"/>
      <c r="M69" s="2"/>
      <c r="N69" s="2"/>
      <c r="O69" s="3"/>
      <c r="P69" s="3"/>
      <c r="Q69" s="3"/>
      <c r="R69" s="3"/>
      <c r="S69" s="3"/>
      <c r="T69" s="3"/>
      <c r="U69" s="3"/>
      <c r="V69" s="6"/>
      <c r="W69" s="3"/>
    </row>
    <row r="70" ht="12.75" customHeight="1">
      <c r="A70" s="39"/>
      <c r="B70" s="2"/>
      <c r="C70" s="2"/>
      <c r="D70" s="2"/>
      <c r="E70" s="2"/>
      <c r="F70" s="2"/>
      <c r="G70" s="2"/>
      <c r="H70" s="2"/>
      <c r="I70" s="3"/>
      <c r="J70" s="3"/>
      <c r="K70" s="3"/>
      <c r="L70" s="2"/>
      <c r="M70" s="2"/>
      <c r="N70" s="2"/>
      <c r="O70" s="3"/>
      <c r="P70" s="3"/>
      <c r="Q70" s="3"/>
      <c r="R70" s="3"/>
      <c r="S70" s="3"/>
      <c r="T70" s="3"/>
      <c r="U70" s="3"/>
      <c r="V70" s="6"/>
      <c r="W70" s="3"/>
    </row>
    <row r="71" ht="12.75" customHeight="1">
      <c r="A71" s="39"/>
      <c r="B71" s="2"/>
      <c r="C71" s="2"/>
      <c r="D71" s="2"/>
      <c r="E71" s="2"/>
      <c r="F71" s="2"/>
      <c r="G71" s="2"/>
      <c r="H71" s="2"/>
      <c r="I71" s="3"/>
      <c r="J71" s="3"/>
      <c r="K71" s="3"/>
      <c r="L71" s="2"/>
      <c r="M71" s="2"/>
      <c r="N71" s="2"/>
      <c r="O71" s="3"/>
      <c r="P71" s="3"/>
      <c r="Q71" s="3"/>
      <c r="R71" s="3"/>
      <c r="S71" s="3"/>
      <c r="T71" s="3"/>
      <c r="U71" s="3"/>
      <c r="V71" s="6"/>
      <c r="W71" s="3"/>
    </row>
    <row r="72" ht="12.75" customHeight="1">
      <c r="A72" s="39"/>
      <c r="B72" s="2"/>
      <c r="C72" s="2"/>
      <c r="D72" s="2"/>
      <c r="E72" s="2"/>
      <c r="F72" s="2"/>
      <c r="G72" s="2"/>
      <c r="H72" s="2"/>
      <c r="I72" s="3"/>
      <c r="J72" s="3"/>
      <c r="K72" s="3"/>
      <c r="L72" s="2"/>
      <c r="M72" s="2"/>
      <c r="N72" s="2"/>
      <c r="O72" s="3"/>
      <c r="P72" s="3"/>
      <c r="Q72" s="3"/>
      <c r="R72" s="3"/>
      <c r="S72" s="3"/>
      <c r="T72" s="3"/>
      <c r="U72" s="3"/>
      <c r="V72" s="6"/>
      <c r="W72" s="3"/>
    </row>
    <row r="73" ht="12.75" customHeight="1">
      <c r="A73" s="39"/>
      <c r="B73" s="2"/>
      <c r="C73" s="2"/>
      <c r="D73" s="2"/>
      <c r="E73" s="2"/>
      <c r="F73" s="2"/>
      <c r="G73" s="2"/>
      <c r="H73" s="2"/>
      <c r="I73" s="3"/>
      <c r="J73" s="3"/>
      <c r="K73" s="3"/>
      <c r="L73" s="2"/>
      <c r="M73" s="2"/>
      <c r="N73" s="2"/>
      <c r="O73" s="3"/>
      <c r="P73" s="3"/>
      <c r="Q73" s="3"/>
      <c r="R73" s="3"/>
      <c r="S73" s="3"/>
      <c r="T73" s="3"/>
      <c r="U73" s="3"/>
      <c r="V73" s="6"/>
      <c r="W73" s="3"/>
    </row>
    <row r="74" ht="12.75" customHeight="1">
      <c r="A74" s="39"/>
      <c r="B74" s="2"/>
      <c r="C74" s="2"/>
      <c r="D74" s="2"/>
      <c r="E74" s="2"/>
      <c r="F74" s="2"/>
      <c r="G74" s="2"/>
      <c r="H74" s="2"/>
      <c r="I74" s="3"/>
      <c r="J74" s="3"/>
      <c r="K74" s="3"/>
      <c r="L74" s="2"/>
      <c r="M74" s="2"/>
      <c r="N74" s="2"/>
      <c r="O74" s="3"/>
      <c r="P74" s="3"/>
      <c r="Q74" s="3"/>
      <c r="R74" s="3"/>
      <c r="S74" s="3"/>
      <c r="T74" s="3"/>
      <c r="U74" s="3"/>
      <c r="V74" s="6"/>
      <c r="W74" s="3"/>
    </row>
    <row r="75" ht="12.75" customHeight="1">
      <c r="A75" s="39"/>
      <c r="B75" s="2"/>
      <c r="C75" s="2"/>
      <c r="D75" s="2"/>
      <c r="E75" s="2"/>
      <c r="F75" s="2"/>
      <c r="G75" s="2"/>
      <c r="H75" s="2"/>
      <c r="I75" s="3"/>
      <c r="J75" s="3"/>
      <c r="K75" s="3"/>
      <c r="L75" s="2"/>
      <c r="M75" s="2"/>
      <c r="N75" s="2"/>
      <c r="O75" s="3"/>
      <c r="P75" s="3"/>
      <c r="Q75" s="3"/>
      <c r="R75" s="3"/>
      <c r="S75" s="3"/>
      <c r="T75" s="3"/>
      <c r="U75" s="3"/>
      <c r="V75" s="6"/>
      <c r="W75" s="3"/>
    </row>
    <row r="76" ht="12.75" customHeight="1">
      <c r="A76" s="39"/>
      <c r="B76" s="2"/>
      <c r="C76" s="2"/>
      <c r="D76" s="2"/>
      <c r="E76" s="2"/>
      <c r="F76" s="2"/>
      <c r="G76" s="2"/>
      <c r="H76" s="2"/>
      <c r="I76" s="3"/>
      <c r="J76" s="3"/>
      <c r="K76" s="3"/>
      <c r="L76" s="2"/>
      <c r="M76" s="2"/>
      <c r="N76" s="2"/>
      <c r="O76" s="3"/>
      <c r="P76" s="3"/>
      <c r="Q76" s="3"/>
      <c r="R76" s="3"/>
      <c r="S76" s="3"/>
      <c r="T76" s="3"/>
      <c r="U76" s="3"/>
      <c r="V76" s="6"/>
      <c r="W76" s="3"/>
    </row>
    <row r="77" ht="12.75" customHeight="1">
      <c r="A77" s="39"/>
      <c r="B77" s="2"/>
      <c r="C77" s="2"/>
      <c r="D77" s="2"/>
      <c r="E77" s="2"/>
      <c r="F77" s="2"/>
      <c r="G77" s="2"/>
      <c r="H77" s="2"/>
      <c r="I77" s="3"/>
      <c r="J77" s="3"/>
      <c r="K77" s="3"/>
      <c r="L77" s="2"/>
      <c r="M77" s="2"/>
      <c r="N77" s="2"/>
      <c r="O77" s="3"/>
      <c r="P77" s="3"/>
      <c r="Q77" s="3"/>
      <c r="R77" s="3"/>
      <c r="S77" s="3"/>
      <c r="T77" s="3"/>
      <c r="U77" s="3"/>
      <c r="V77" s="6"/>
      <c r="W77" s="3"/>
    </row>
    <row r="78" ht="12.75" customHeight="1">
      <c r="A78" s="39"/>
      <c r="B78" s="2"/>
      <c r="C78" s="2"/>
      <c r="D78" s="2"/>
      <c r="E78" s="2"/>
      <c r="F78" s="2"/>
      <c r="G78" s="2"/>
      <c r="H78" s="2"/>
      <c r="I78" s="3"/>
      <c r="J78" s="3"/>
      <c r="K78" s="3"/>
      <c r="L78" s="2"/>
      <c r="M78" s="2"/>
      <c r="N78" s="2"/>
      <c r="O78" s="3"/>
      <c r="P78" s="3"/>
      <c r="Q78" s="3"/>
      <c r="R78" s="3"/>
      <c r="S78" s="3"/>
      <c r="T78" s="3"/>
      <c r="U78" s="3"/>
      <c r="V78" s="6"/>
      <c r="W78" s="3"/>
    </row>
    <row r="79" ht="12.75" customHeight="1">
      <c r="A79" s="39"/>
      <c r="B79" s="2"/>
      <c r="C79" s="2"/>
      <c r="D79" s="2"/>
      <c r="E79" s="2"/>
      <c r="F79" s="2"/>
      <c r="G79" s="2"/>
      <c r="H79" s="2"/>
      <c r="I79" s="3"/>
      <c r="J79" s="3"/>
      <c r="K79" s="3"/>
      <c r="L79" s="2"/>
      <c r="M79" s="2"/>
      <c r="N79" s="2"/>
      <c r="O79" s="3"/>
      <c r="P79" s="3"/>
      <c r="Q79" s="3"/>
      <c r="R79" s="3"/>
      <c r="S79" s="3"/>
      <c r="T79" s="3"/>
      <c r="U79" s="3"/>
      <c r="V79" s="6"/>
      <c r="W79" s="3"/>
    </row>
    <row r="80" ht="12.75" customHeight="1">
      <c r="A80" s="39"/>
      <c r="B80" s="2"/>
      <c r="C80" s="2"/>
      <c r="D80" s="2"/>
      <c r="E80" s="2"/>
      <c r="F80" s="2"/>
      <c r="G80" s="2"/>
      <c r="H80" s="2"/>
      <c r="I80" s="3"/>
      <c r="J80" s="3"/>
      <c r="K80" s="3"/>
      <c r="L80" s="2"/>
      <c r="M80" s="2"/>
      <c r="N80" s="2"/>
      <c r="O80" s="3"/>
      <c r="P80" s="3"/>
      <c r="Q80" s="3"/>
      <c r="R80" s="3"/>
      <c r="S80" s="3"/>
      <c r="T80" s="3"/>
      <c r="U80" s="3"/>
      <c r="V80" s="6"/>
      <c r="W80" s="3"/>
    </row>
    <row r="81" ht="12.75" customHeight="1">
      <c r="A81" s="39"/>
      <c r="B81" s="2"/>
      <c r="C81" s="2"/>
      <c r="D81" s="2"/>
      <c r="E81" s="2"/>
      <c r="F81" s="2"/>
      <c r="G81" s="2"/>
      <c r="H81" s="2"/>
      <c r="I81" s="3"/>
      <c r="J81" s="3"/>
      <c r="K81" s="3"/>
      <c r="L81" s="2"/>
      <c r="M81" s="2"/>
      <c r="N81" s="2"/>
      <c r="O81" s="3"/>
      <c r="P81" s="3"/>
      <c r="Q81" s="3"/>
      <c r="R81" s="3"/>
      <c r="S81" s="3"/>
      <c r="T81" s="3"/>
      <c r="U81" s="3"/>
      <c r="V81" s="6"/>
      <c r="W81" s="3"/>
    </row>
    <row r="82" ht="12.75" customHeight="1">
      <c r="A82" s="39"/>
      <c r="B82" s="2"/>
      <c r="C82" s="2"/>
      <c r="D82" s="2"/>
      <c r="E82" s="2"/>
      <c r="F82" s="2"/>
      <c r="G82" s="2"/>
      <c r="H82" s="2"/>
      <c r="I82" s="3"/>
      <c r="J82" s="3"/>
      <c r="K82" s="3"/>
      <c r="L82" s="2"/>
      <c r="M82" s="2"/>
      <c r="N82" s="2"/>
      <c r="O82" s="3"/>
      <c r="P82" s="3"/>
      <c r="Q82" s="3"/>
      <c r="R82" s="3"/>
      <c r="S82" s="3"/>
      <c r="T82" s="3"/>
      <c r="U82" s="3"/>
      <c r="V82" s="6"/>
      <c r="W82" s="3"/>
    </row>
    <row r="83" ht="12.75" customHeight="1">
      <c r="A83" s="39"/>
      <c r="B83" s="2"/>
      <c r="C83" s="2"/>
      <c r="D83" s="2"/>
      <c r="E83" s="2"/>
      <c r="F83" s="2"/>
      <c r="G83" s="2"/>
      <c r="H83" s="2"/>
      <c r="I83" s="3"/>
      <c r="J83" s="3"/>
      <c r="K83" s="3"/>
      <c r="L83" s="2"/>
      <c r="M83" s="2"/>
      <c r="N83" s="2"/>
      <c r="O83" s="3"/>
      <c r="P83" s="3"/>
      <c r="Q83" s="3"/>
      <c r="R83" s="3"/>
      <c r="S83" s="3"/>
      <c r="T83" s="3"/>
      <c r="U83" s="3"/>
      <c r="V83" s="6"/>
      <c r="W83" s="3"/>
    </row>
    <row r="84" ht="12.75" customHeight="1">
      <c r="A84" s="39"/>
      <c r="B84" s="2"/>
      <c r="C84" s="2"/>
      <c r="D84" s="2"/>
      <c r="E84" s="2"/>
      <c r="F84" s="2"/>
      <c r="G84" s="2"/>
      <c r="H84" s="2"/>
      <c r="I84" s="3"/>
      <c r="J84" s="3"/>
      <c r="K84" s="3"/>
      <c r="L84" s="2"/>
      <c r="M84" s="2"/>
      <c r="N84" s="2"/>
      <c r="O84" s="3"/>
      <c r="P84" s="3"/>
      <c r="Q84" s="3"/>
      <c r="R84" s="3"/>
      <c r="S84" s="3"/>
      <c r="T84" s="3"/>
      <c r="U84" s="3"/>
      <c r="V84" s="6"/>
      <c r="W84" s="3"/>
    </row>
    <row r="85" ht="12.75" customHeight="1">
      <c r="A85" s="39"/>
      <c r="B85" s="2"/>
      <c r="C85" s="2"/>
      <c r="D85" s="2"/>
      <c r="E85" s="2"/>
      <c r="F85" s="2"/>
      <c r="G85" s="2"/>
      <c r="H85" s="2"/>
      <c r="I85" s="3"/>
      <c r="J85" s="3"/>
      <c r="K85" s="3"/>
      <c r="L85" s="2"/>
      <c r="M85" s="2"/>
      <c r="N85" s="2"/>
      <c r="O85" s="3"/>
      <c r="P85" s="3"/>
      <c r="Q85" s="3"/>
      <c r="R85" s="3"/>
      <c r="S85" s="3"/>
      <c r="T85" s="3"/>
      <c r="U85" s="3"/>
      <c r="V85" s="6"/>
      <c r="W85" s="3"/>
    </row>
    <row r="86" ht="12.75" customHeight="1">
      <c r="A86" s="39"/>
      <c r="B86" s="2"/>
      <c r="C86" s="2"/>
      <c r="D86" s="2"/>
      <c r="E86" s="2"/>
      <c r="F86" s="2"/>
      <c r="G86" s="2"/>
      <c r="H86" s="2"/>
      <c r="I86" s="3"/>
      <c r="J86" s="3"/>
      <c r="K86" s="3"/>
      <c r="L86" s="2"/>
      <c r="M86" s="2"/>
      <c r="N86" s="2"/>
      <c r="O86" s="3"/>
      <c r="P86" s="3"/>
      <c r="Q86" s="3"/>
      <c r="R86" s="3"/>
      <c r="S86" s="3"/>
      <c r="T86" s="3"/>
      <c r="U86" s="3"/>
      <c r="V86" s="6"/>
      <c r="W86" s="3"/>
    </row>
    <row r="87" ht="12.75" customHeight="1">
      <c r="A87" s="39"/>
      <c r="B87" s="2"/>
      <c r="C87" s="2"/>
      <c r="D87" s="2"/>
      <c r="E87" s="2"/>
      <c r="F87" s="2"/>
      <c r="G87" s="2"/>
      <c r="H87" s="2"/>
      <c r="I87" s="3"/>
      <c r="J87" s="3"/>
      <c r="K87" s="3"/>
      <c r="L87" s="2"/>
      <c r="M87" s="2"/>
      <c r="N87" s="2"/>
      <c r="O87" s="3"/>
      <c r="P87" s="3"/>
      <c r="Q87" s="3"/>
      <c r="R87" s="3"/>
      <c r="S87" s="3"/>
      <c r="T87" s="3"/>
      <c r="U87" s="3"/>
      <c r="V87" s="6"/>
      <c r="W87" s="3"/>
    </row>
    <row r="88" ht="12.75" customHeight="1">
      <c r="A88" s="39"/>
      <c r="B88" s="2"/>
      <c r="C88" s="2"/>
      <c r="D88" s="2"/>
      <c r="E88" s="2"/>
      <c r="F88" s="2"/>
      <c r="G88" s="2"/>
      <c r="H88" s="2"/>
      <c r="I88" s="3"/>
      <c r="J88" s="3"/>
      <c r="K88" s="3"/>
      <c r="L88" s="2"/>
      <c r="M88" s="2"/>
      <c r="N88" s="2"/>
      <c r="O88" s="3"/>
      <c r="P88" s="3"/>
      <c r="Q88" s="3"/>
      <c r="R88" s="3"/>
      <c r="S88" s="3"/>
      <c r="T88" s="3"/>
      <c r="U88" s="3"/>
      <c r="V88" s="6"/>
      <c r="W88" s="3"/>
    </row>
    <row r="89" ht="12.75" customHeight="1">
      <c r="A89" s="39"/>
      <c r="B89" s="2"/>
      <c r="C89" s="2"/>
      <c r="D89" s="2"/>
      <c r="E89" s="2"/>
      <c r="F89" s="2"/>
      <c r="G89" s="2"/>
      <c r="H89" s="2"/>
      <c r="I89" s="3"/>
      <c r="J89" s="3"/>
      <c r="K89" s="3"/>
      <c r="L89" s="2"/>
      <c r="M89" s="2"/>
      <c r="N89" s="2"/>
      <c r="O89" s="3"/>
      <c r="P89" s="3"/>
      <c r="Q89" s="3"/>
      <c r="R89" s="3"/>
      <c r="S89" s="3"/>
      <c r="T89" s="3"/>
      <c r="U89" s="3"/>
      <c r="V89" s="6"/>
      <c r="W89" s="3"/>
    </row>
    <row r="90" ht="12.75" customHeight="1">
      <c r="A90" s="39"/>
      <c r="B90" s="2"/>
      <c r="C90" s="2"/>
      <c r="D90" s="2"/>
      <c r="E90" s="2"/>
      <c r="F90" s="2"/>
      <c r="G90" s="2"/>
      <c r="H90" s="2"/>
      <c r="I90" s="3"/>
      <c r="J90" s="3"/>
      <c r="K90" s="3"/>
      <c r="L90" s="2"/>
      <c r="M90" s="2"/>
      <c r="N90" s="2"/>
      <c r="O90" s="3"/>
      <c r="P90" s="3"/>
      <c r="Q90" s="3"/>
      <c r="R90" s="3"/>
      <c r="S90" s="3"/>
      <c r="T90" s="3"/>
      <c r="U90" s="3"/>
      <c r="V90" s="6"/>
      <c r="W90" s="3"/>
    </row>
    <row r="91" ht="12.75" customHeight="1">
      <c r="A91" s="39"/>
      <c r="B91" s="2"/>
      <c r="C91" s="2"/>
      <c r="D91" s="2"/>
      <c r="E91" s="2"/>
      <c r="F91" s="2"/>
      <c r="G91" s="2"/>
      <c r="H91" s="2"/>
      <c r="I91" s="3"/>
      <c r="J91" s="3"/>
      <c r="K91" s="3"/>
      <c r="L91" s="2"/>
      <c r="M91" s="2"/>
      <c r="N91" s="2"/>
      <c r="O91" s="3"/>
      <c r="P91" s="3"/>
      <c r="Q91" s="3"/>
      <c r="R91" s="3"/>
      <c r="S91" s="3"/>
      <c r="T91" s="3"/>
      <c r="U91" s="3"/>
      <c r="V91" s="6"/>
      <c r="W91" s="3"/>
    </row>
    <row r="92" ht="12.75" customHeight="1">
      <c r="A92" s="39"/>
      <c r="B92" s="2"/>
      <c r="C92" s="2"/>
      <c r="D92" s="2"/>
      <c r="E92" s="2"/>
      <c r="F92" s="2"/>
      <c r="G92" s="2"/>
      <c r="H92" s="2"/>
      <c r="I92" s="3"/>
      <c r="J92" s="3"/>
      <c r="K92" s="3"/>
      <c r="L92" s="2"/>
      <c r="M92" s="2"/>
      <c r="N92" s="2"/>
      <c r="O92" s="3"/>
      <c r="P92" s="3"/>
      <c r="Q92" s="3"/>
      <c r="R92" s="3"/>
      <c r="S92" s="3"/>
      <c r="T92" s="3"/>
      <c r="U92" s="3"/>
      <c r="V92" s="6"/>
      <c r="W92" s="3"/>
    </row>
    <row r="93" ht="12.75" customHeight="1">
      <c r="A93" s="39"/>
      <c r="B93" s="2"/>
      <c r="C93" s="2"/>
      <c r="D93" s="2"/>
      <c r="E93" s="2"/>
      <c r="F93" s="2"/>
      <c r="G93" s="2"/>
      <c r="H93" s="2"/>
      <c r="I93" s="3"/>
      <c r="J93" s="3"/>
      <c r="K93" s="3"/>
      <c r="L93" s="2"/>
      <c r="M93" s="2"/>
      <c r="N93" s="2"/>
      <c r="O93" s="3"/>
      <c r="P93" s="3"/>
      <c r="Q93" s="3"/>
      <c r="R93" s="3"/>
      <c r="S93" s="3"/>
      <c r="T93" s="3"/>
      <c r="U93" s="3"/>
      <c r="V93" s="6"/>
      <c r="W93" s="3"/>
    </row>
    <row r="94" ht="12.75" customHeight="1">
      <c r="A94" s="39"/>
      <c r="B94" s="2"/>
      <c r="C94" s="2"/>
      <c r="D94" s="2"/>
      <c r="E94" s="2"/>
      <c r="F94" s="2"/>
      <c r="G94" s="2"/>
      <c r="H94" s="2"/>
      <c r="I94" s="3"/>
      <c r="J94" s="3"/>
      <c r="K94" s="3"/>
      <c r="L94" s="2"/>
      <c r="M94" s="2"/>
      <c r="N94" s="2"/>
      <c r="O94" s="3"/>
      <c r="P94" s="3"/>
      <c r="Q94" s="3"/>
      <c r="R94" s="3"/>
      <c r="S94" s="3"/>
      <c r="T94" s="3"/>
      <c r="U94" s="3"/>
      <c r="V94" s="6"/>
      <c r="W94" s="3"/>
    </row>
    <row r="95" ht="12.75" customHeight="1">
      <c r="A95" s="39"/>
      <c r="B95" s="2"/>
      <c r="C95" s="2"/>
      <c r="D95" s="2"/>
      <c r="E95" s="2"/>
      <c r="F95" s="2"/>
      <c r="G95" s="2"/>
      <c r="H95" s="2"/>
      <c r="I95" s="3"/>
      <c r="J95" s="3"/>
      <c r="K95" s="3"/>
      <c r="L95" s="2"/>
      <c r="M95" s="2"/>
      <c r="N95" s="2"/>
      <c r="O95" s="3"/>
      <c r="P95" s="3"/>
      <c r="Q95" s="3"/>
      <c r="R95" s="3"/>
      <c r="S95" s="3"/>
      <c r="T95" s="3"/>
      <c r="U95" s="3"/>
      <c r="V95" s="6"/>
      <c r="W95" s="3"/>
    </row>
    <row r="96" ht="12.75" customHeight="1">
      <c r="A96" s="39"/>
      <c r="B96" s="2"/>
      <c r="C96" s="2"/>
      <c r="D96" s="2"/>
      <c r="E96" s="2"/>
      <c r="F96" s="2"/>
      <c r="G96" s="2"/>
      <c r="H96" s="2"/>
      <c r="I96" s="3"/>
      <c r="J96" s="3"/>
      <c r="K96" s="3"/>
      <c r="L96" s="2"/>
      <c r="M96" s="2"/>
      <c r="N96" s="2"/>
      <c r="O96" s="3"/>
      <c r="P96" s="3"/>
      <c r="Q96" s="3"/>
      <c r="R96" s="3"/>
      <c r="S96" s="3"/>
      <c r="T96" s="3"/>
      <c r="U96" s="3"/>
      <c r="V96" s="6"/>
      <c r="W96" s="3"/>
    </row>
    <row r="97" ht="12.75" customHeight="1">
      <c r="A97" s="39"/>
      <c r="B97" s="2"/>
      <c r="C97" s="2"/>
      <c r="D97" s="2"/>
      <c r="E97" s="2"/>
      <c r="F97" s="2"/>
      <c r="G97" s="2"/>
      <c r="H97" s="2"/>
      <c r="I97" s="3"/>
      <c r="J97" s="3"/>
      <c r="K97" s="3"/>
      <c r="L97" s="2"/>
      <c r="M97" s="2"/>
      <c r="N97" s="2"/>
      <c r="O97" s="3"/>
      <c r="P97" s="3"/>
      <c r="Q97" s="3"/>
      <c r="R97" s="3"/>
      <c r="S97" s="3"/>
      <c r="T97" s="3"/>
      <c r="U97" s="3"/>
      <c r="V97" s="6"/>
      <c r="W97" s="3"/>
    </row>
    <row r="98" ht="12.75" customHeight="1">
      <c r="A98" s="39"/>
      <c r="B98" s="2"/>
      <c r="C98" s="2"/>
      <c r="D98" s="2"/>
      <c r="E98" s="2"/>
      <c r="F98" s="2"/>
      <c r="G98" s="2"/>
      <c r="H98" s="2"/>
      <c r="I98" s="3"/>
      <c r="J98" s="3"/>
      <c r="K98" s="3"/>
      <c r="L98" s="2"/>
      <c r="M98" s="2"/>
      <c r="N98" s="2"/>
      <c r="O98" s="3"/>
      <c r="P98" s="3"/>
      <c r="Q98" s="3"/>
      <c r="R98" s="3"/>
      <c r="S98" s="3"/>
      <c r="T98" s="3"/>
      <c r="U98" s="3"/>
      <c r="V98" s="6"/>
      <c r="W98" s="3"/>
    </row>
    <row r="99" ht="12.75" customHeight="1">
      <c r="A99" s="39"/>
      <c r="B99" s="2"/>
      <c r="C99" s="2"/>
      <c r="D99" s="2"/>
      <c r="E99" s="2"/>
      <c r="F99" s="2"/>
      <c r="G99" s="2"/>
      <c r="H99" s="2"/>
      <c r="I99" s="3"/>
      <c r="J99" s="3"/>
      <c r="K99" s="3"/>
      <c r="L99" s="2"/>
      <c r="M99" s="2"/>
      <c r="N99" s="2"/>
      <c r="O99" s="3"/>
      <c r="P99" s="3"/>
      <c r="Q99" s="3"/>
      <c r="R99" s="3"/>
      <c r="S99" s="3"/>
      <c r="T99" s="3"/>
      <c r="U99" s="3"/>
      <c r="V99" s="6"/>
      <c r="W99" s="3"/>
    </row>
    <row r="100" ht="12.75" customHeight="1">
      <c r="A100" s="39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2"/>
      <c r="M100" s="2"/>
      <c r="N100" s="2"/>
      <c r="O100" s="3"/>
      <c r="P100" s="3"/>
      <c r="Q100" s="3"/>
      <c r="R100" s="3"/>
      <c r="S100" s="3"/>
      <c r="T100" s="3"/>
      <c r="U100" s="3"/>
      <c r="V100" s="6"/>
      <c r="W100" s="3"/>
    </row>
    <row r="101" ht="12.75" customHeight="1">
      <c r="A101" s="39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2"/>
      <c r="M101" s="2"/>
      <c r="N101" s="2"/>
      <c r="O101" s="3"/>
      <c r="P101" s="3"/>
      <c r="Q101" s="3"/>
      <c r="R101" s="3"/>
      <c r="S101" s="3"/>
      <c r="T101" s="3"/>
      <c r="U101" s="3"/>
      <c r="V101" s="6"/>
      <c r="W101" s="3"/>
    </row>
    <row r="102" ht="12.75" customHeight="1">
      <c r="A102" s="39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2"/>
      <c r="M102" s="2"/>
      <c r="N102" s="2"/>
      <c r="O102" s="3"/>
      <c r="P102" s="3"/>
      <c r="Q102" s="3"/>
      <c r="R102" s="3"/>
      <c r="S102" s="3"/>
      <c r="T102" s="3"/>
      <c r="U102" s="3"/>
      <c r="V102" s="6"/>
      <c r="W102" s="3"/>
    </row>
    <row r="103" ht="12.75" customHeight="1">
      <c r="A103" s="39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2"/>
      <c r="M103" s="2"/>
      <c r="N103" s="2"/>
      <c r="O103" s="3"/>
      <c r="P103" s="3"/>
      <c r="Q103" s="3"/>
      <c r="R103" s="3"/>
      <c r="S103" s="3"/>
      <c r="T103" s="3"/>
      <c r="U103" s="3"/>
      <c r="V103" s="6"/>
      <c r="W103" s="3"/>
    </row>
    <row r="104" ht="12.75" customHeight="1">
      <c r="A104" s="39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6"/>
      <c r="W104" s="3"/>
    </row>
    <row r="105" ht="12.75" customHeight="1">
      <c r="A105" s="39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2"/>
      <c r="M105" s="2"/>
      <c r="N105" s="2"/>
      <c r="O105" s="3"/>
      <c r="P105" s="3"/>
      <c r="Q105" s="3"/>
      <c r="R105" s="3"/>
      <c r="S105" s="3"/>
      <c r="T105" s="3"/>
      <c r="U105" s="3"/>
      <c r="V105" s="6"/>
      <c r="W105" s="3"/>
    </row>
    <row r="106" ht="12.75" customHeight="1">
      <c r="A106" s="39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2"/>
      <c r="M106" s="2"/>
      <c r="N106" s="2"/>
      <c r="O106" s="3"/>
      <c r="P106" s="3"/>
      <c r="Q106" s="3"/>
      <c r="R106" s="3"/>
      <c r="S106" s="3"/>
      <c r="T106" s="3"/>
      <c r="U106" s="3"/>
      <c r="V106" s="6"/>
      <c r="W106" s="3"/>
    </row>
    <row r="107" ht="12.75" customHeight="1">
      <c r="A107" s="39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2"/>
      <c r="M107" s="2"/>
      <c r="N107" s="2"/>
      <c r="O107" s="3"/>
      <c r="P107" s="3"/>
      <c r="Q107" s="3"/>
      <c r="R107" s="3"/>
      <c r="S107" s="3"/>
      <c r="T107" s="3"/>
      <c r="U107" s="3"/>
      <c r="V107" s="6"/>
      <c r="W107" s="3"/>
    </row>
    <row r="108" ht="12.75" customHeight="1">
      <c r="A108" s="39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2"/>
      <c r="M108" s="2"/>
      <c r="N108" s="2"/>
      <c r="O108" s="3"/>
      <c r="P108" s="3"/>
      <c r="Q108" s="3"/>
      <c r="R108" s="3"/>
      <c r="S108" s="3"/>
      <c r="T108" s="3"/>
      <c r="U108" s="3"/>
      <c r="V108" s="6"/>
      <c r="W108" s="3"/>
    </row>
    <row r="109" ht="12.75" customHeight="1">
      <c r="A109" s="39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2"/>
      <c r="M109" s="2"/>
      <c r="N109" s="2"/>
      <c r="O109" s="3"/>
      <c r="P109" s="3"/>
      <c r="Q109" s="3"/>
      <c r="R109" s="3"/>
      <c r="S109" s="3"/>
      <c r="T109" s="3"/>
      <c r="U109" s="3"/>
      <c r="V109" s="6"/>
      <c r="W109" s="3"/>
    </row>
    <row r="110" ht="12.75" customHeight="1">
      <c r="A110" s="39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2"/>
      <c r="M110" s="2"/>
      <c r="N110" s="2"/>
      <c r="O110" s="3"/>
      <c r="P110" s="3"/>
      <c r="Q110" s="3"/>
      <c r="R110" s="3"/>
      <c r="S110" s="3"/>
      <c r="T110" s="3"/>
      <c r="U110" s="3"/>
      <c r="V110" s="6"/>
      <c r="W110" s="3"/>
    </row>
    <row r="111" ht="12.75" customHeight="1">
      <c r="A111" s="39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2"/>
      <c r="M111" s="2"/>
      <c r="N111" s="2"/>
      <c r="O111" s="3"/>
      <c r="P111" s="3"/>
      <c r="Q111" s="3"/>
      <c r="R111" s="3"/>
      <c r="S111" s="3"/>
      <c r="T111" s="3"/>
      <c r="U111" s="3"/>
      <c r="V111" s="6"/>
      <c r="W111" s="3"/>
    </row>
    <row r="112" ht="12.75" customHeight="1">
      <c r="A112" s="39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2"/>
      <c r="M112" s="2"/>
      <c r="N112" s="2"/>
      <c r="O112" s="3"/>
      <c r="P112" s="3"/>
      <c r="Q112" s="3"/>
      <c r="R112" s="3"/>
      <c r="S112" s="3"/>
      <c r="T112" s="3"/>
      <c r="U112" s="3"/>
      <c r="V112" s="6"/>
      <c r="W112" s="3"/>
    </row>
    <row r="113" ht="12.75" customHeight="1">
      <c r="A113" s="39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6"/>
      <c r="W113" s="3"/>
    </row>
    <row r="114" ht="12.75" customHeight="1">
      <c r="A114" s="39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2"/>
      <c r="M114" s="2"/>
      <c r="N114" s="2"/>
      <c r="O114" s="3"/>
      <c r="P114" s="3"/>
      <c r="Q114" s="3"/>
      <c r="R114" s="3"/>
      <c r="S114" s="3"/>
      <c r="T114" s="3"/>
      <c r="U114" s="3"/>
      <c r="V114" s="6"/>
      <c r="W114" s="3"/>
    </row>
    <row r="115" ht="12.75" customHeight="1">
      <c r="A115" s="39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6"/>
      <c r="W115" s="3"/>
    </row>
    <row r="116" ht="12.75" customHeight="1">
      <c r="A116" s="39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6"/>
      <c r="W116" s="3"/>
    </row>
    <row r="117" ht="12.75" customHeight="1">
      <c r="A117" s="39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6"/>
      <c r="W117" s="3"/>
    </row>
    <row r="118" ht="12.75" customHeight="1">
      <c r="A118" s="39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6"/>
      <c r="W118" s="3"/>
    </row>
    <row r="119" ht="12.75" customHeight="1">
      <c r="A119" s="39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6"/>
      <c r="W119" s="3"/>
    </row>
    <row r="120" ht="12.75" customHeight="1">
      <c r="A120" s="39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6"/>
      <c r="W120" s="3"/>
    </row>
    <row r="121" ht="12.75" customHeight="1">
      <c r="A121" s="39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6"/>
      <c r="W121" s="3"/>
    </row>
    <row r="122" ht="12.75" customHeight="1">
      <c r="A122" s="39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6"/>
      <c r="W122" s="3"/>
    </row>
    <row r="123" ht="12.75" customHeight="1">
      <c r="A123" s="39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6"/>
      <c r="W123" s="3"/>
    </row>
    <row r="124" ht="12.75" customHeight="1">
      <c r="A124" s="39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6"/>
      <c r="W124" s="3"/>
    </row>
    <row r="125" ht="12.75" customHeight="1">
      <c r="A125" s="39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6"/>
      <c r="W125" s="3"/>
    </row>
    <row r="126" ht="12.75" customHeight="1">
      <c r="A126" s="39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6"/>
      <c r="W126" s="3"/>
    </row>
    <row r="127" ht="12.75" customHeight="1">
      <c r="A127" s="39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6"/>
      <c r="W127" s="3"/>
    </row>
    <row r="128" ht="12.75" customHeight="1">
      <c r="A128" s="39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6"/>
      <c r="W128" s="3"/>
    </row>
    <row r="129" ht="12.75" customHeight="1">
      <c r="A129" s="39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6"/>
      <c r="W129" s="3"/>
    </row>
    <row r="130" ht="12.75" customHeight="1">
      <c r="A130" s="39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6"/>
      <c r="W130" s="3"/>
    </row>
    <row r="131" ht="12.75" customHeight="1">
      <c r="A131" s="39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6"/>
      <c r="W131" s="3"/>
    </row>
    <row r="132" ht="12.75" customHeight="1">
      <c r="A132" s="39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2"/>
      <c r="M132" s="2"/>
      <c r="N132" s="2"/>
      <c r="O132" s="3"/>
      <c r="P132" s="3"/>
      <c r="Q132" s="3"/>
      <c r="R132" s="3"/>
      <c r="S132" s="3"/>
      <c r="T132" s="3"/>
      <c r="U132" s="3"/>
      <c r="V132" s="6"/>
      <c r="W132" s="3"/>
    </row>
    <row r="133" ht="12.75" customHeight="1">
      <c r="A133" s="39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2"/>
      <c r="M133" s="2"/>
      <c r="N133" s="2"/>
      <c r="O133" s="3"/>
      <c r="P133" s="3"/>
      <c r="Q133" s="3"/>
      <c r="R133" s="3"/>
      <c r="S133" s="3"/>
      <c r="T133" s="3"/>
      <c r="U133" s="3"/>
      <c r="V133" s="6"/>
      <c r="W133" s="3"/>
    </row>
    <row r="134" ht="12.75" customHeight="1">
      <c r="A134" s="39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6"/>
      <c r="W134" s="3"/>
    </row>
    <row r="135" ht="12.75" customHeight="1">
      <c r="A135" s="39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6"/>
      <c r="W135" s="3"/>
    </row>
    <row r="136" ht="12.75" customHeight="1">
      <c r="A136" s="39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2"/>
      <c r="M136" s="2"/>
      <c r="N136" s="2"/>
      <c r="O136" s="3"/>
      <c r="P136" s="3"/>
      <c r="Q136" s="3"/>
      <c r="R136" s="3"/>
      <c r="S136" s="3"/>
      <c r="T136" s="3"/>
      <c r="U136" s="3"/>
      <c r="V136" s="6"/>
      <c r="W136" s="3"/>
    </row>
    <row r="137" ht="12.75" customHeight="1">
      <c r="A137" s="39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2"/>
      <c r="M137" s="2"/>
      <c r="N137" s="2"/>
      <c r="O137" s="3"/>
      <c r="P137" s="3"/>
      <c r="Q137" s="3"/>
      <c r="R137" s="3"/>
      <c r="S137" s="3"/>
      <c r="T137" s="3"/>
      <c r="U137" s="3"/>
      <c r="V137" s="6"/>
      <c r="W137" s="3"/>
    </row>
    <row r="138" ht="12.75" customHeight="1">
      <c r="A138" s="39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2"/>
      <c r="M138" s="2"/>
      <c r="N138" s="2"/>
      <c r="O138" s="3"/>
      <c r="P138" s="3"/>
      <c r="Q138" s="3"/>
      <c r="R138" s="3"/>
      <c r="S138" s="3"/>
      <c r="T138" s="3"/>
      <c r="U138" s="3"/>
      <c r="V138" s="6"/>
      <c r="W138" s="3"/>
    </row>
    <row r="139" ht="12.75" customHeight="1">
      <c r="A139" s="39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2"/>
      <c r="M139" s="2"/>
      <c r="N139" s="2"/>
      <c r="O139" s="3"/>
      <c r="P139" s="3"/>
      <c r="Q139" s="3"/>
      <c r="R139" s="3"/>
      <c r="S139" s="3"/>
      <c r="T139" s="3"/>
      <c r="U139" s="3"/>
      <c r="V139" s="6"/>
      <c r="W139" s="3"/>
    </row>
    <row r="140" ht="12.75" customHeight="1">
      <c r="A140" s="39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2"/>
      <c r="M140" s="2"/>
      <c r="N140" s="2"/>
      <c r="O140" s="3"/>
      <c r="P140" s="3"/>
      <c r="Q140" s="3"/>
      <c r="R140" s="3"/>
      <c r="S140" s="3"/>
      <c r="T140" s="3"/>
      <c r="U140" s="3"/>
      <c r="V140" s="6"/>
      <c r="W140" s="3"/>
    </row>
    <row r="141" ht="12.75" customHeight="1">
      <c r="A141" s="39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2"/>
      <c r="M141" s="2"/>
      <c r="N141" s="2"/>
      <c r="O141" s="3"/>
      <c r="P141" s="3"/>
      <c r="Q141" s="3"/>
      <c r="R141" s="3"/>
      <c r="S141" s="3"/>
      <c r="T141" s="3"/>
      <c r="U141" s="3"/>
      <c r="V141" s="6"/>
      <c r="W141" s="3"/>
    </row>
    <row r="142" ht="12.75" customHeight="1">
      <c r="A142" s="39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2"/>
      <c r="M142" s="2"/>
      <c r="N142" s="2"/>
      <c r="O142" s="3"/>
      <c r="P142" s="3"/>
      <c r="Q142" s="3"/>
      <c r="R142" s="3"/>
      <c r="S142" s="3"/>
      <c r="T142" s="3"/>
      <c r="U142" s="3"/>
      <c r="V142" s="6"/>
      <c r="W142" s="3"/>
    </row>
    <row r="143" ht="12.75" customHeight="1">
      <c r="A143" s="39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2"/>
      <c r="M143" s="2"/>
      <c r="N143" s="2"/>
      <c r="O143" s="3"/>
      <c r="P143" s="3"/>
      <c r="Q143" s="3"/>
      <c r="R143" s="3"/>
      <c r="S143" s="3"/>
      <c r="T143" s="3"/>
      <c r="U143" s="3"/>
      <c r="V143" s="6"/>
      <c r="W143" s="3"/>
    </row>
    <row r="144" ht="12.75" customHeight="1">
      <c r="A144" s="39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2"/>
      <c r="M144" s="2"/>
      <c r="N144" s="2"/>
      <c r="O144" s="3"/>
      <c r="P144" s="3"/>
      <c r="Q144" s="3"/>
      <c r="R144" s="3"/>
      <c r="S144" s="3"/>
      <c r="T144" s="3"/>
      <c r="U144" s="3"/>
      <c r="V144" s="6"/>
      <c r="W144" s="3"/>
    </row>
    <row r="145" ht="12.75" customHeight="1">
      <c r="A145" s="39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2"/>
      <c r="M145" s="2"/>
      <c r="N145" s="2"/>
      <c r="O145" s="3"/>
      <c r="P145" s="3"/>
      <c r="Q145" s="3"/>
      <c r="R145" s="3"/>
      <c r="S145" s="3"/>
      <c r="T145" s="3"/>
      <c r="U145" s="3"/>
      <c r="V145" s="6"/>
      <c r="W145" s="3"/>
    </row>
    <row r="146" ht="12.75" customHeight="1">
      <c r="A146" s="39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2"/>
      <c r="M146" s="2"/>
      <c r="N146" s="2"/>
      <c r="O146" s="3"/>
      <c r="P146" s="3"/>
      <c r="Q146" s="3"/>
      <c r="R146" s="3"/>
      <c r="S146" s="3"/>
      <c r="T146" s="3"/>
      <c r="U146" s="3"/>
      <c r="V146" s="6"/>
      <c r="W146" s="3"/>
    </row>
    <row r="147" ht="12.75" customHeight="1">
      <c r="A147" s="39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2"/>
      <c r="M147" s="2"/>
      <c r="N147" s="2"/>
      <c r="O147" s="3"/>
      <c r="P147" s="3"/>
      <c r="Q147" s="3"/>
      <c r="R147" s="3"/>
      <c r="S147" s="3"/>
      <c r="T147" s="3"/>
      <c r="U147" s="3"/>
      <c r="V147" s="6"/>
      <c r="W147" s="3"/>
    </row>
    <row r="148" ht="12.75" customHeight="1">
      <c r="A148" s="39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2"/>
      <c r="M148" s="2"/>
      <c r="N148" s="2"/>
      <c r="O148" s="3"/>
      <c r="P148" s="3"/>
      <c r="Q148" s="3"/>
      <c r="R148" s="3"/>
      <c r="S148" s="3"/>
      <c r="T148" s="3"/>
      <c r="U148" s="3"/>
      <c r="V148" s="6"/>
      <c r="W148" s="3"/>
    </row>
    <row r="149" ht="12.75" customHeight="1">
      <c r="A149" s="39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6"/>
      <c r="W149" s="3"/>
    </row>
    <row r="150" ht="12.75" customHeight="1">
      <c r="A150" s="39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6"/>
      <c r="W150" s="3"/>
    </row>
    <row r="151" ht="12.75" customHeight="1">
      <c r="A151" s="39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6"/>
      <c r="W151" s="3"/>
    </row>
    <row r="152" ht="12.75" customHeight="1">
      <c r="A152" s="39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6"/>
      <c r="W152" s="3"/>
    </row>
    <row r="153" ht="12.75" customHeight="1">
      <c r="A153" s="39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6"/>
      <c r="W153" s="3"/>
    </row>
    <row r="154" ht="12.75" customHeight="1">
      <c r="A154" s="39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6"/>
      <c r="W154" s="3"/>
    </row>
    <row r="155" ht="12.75" customHeight="1">
      <c r="A155" s="39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6"/>
      <c r="W155" s="3"/>
    </row>
    <row r="156" ht="12.75" customHeight="1">
      <c r="A156" s="39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6"/>
      <c r="W156" s="3"/>
    </row>
    <row r="157" ht="12.75" customHeight="1">
      <c r="A157" s="39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6"/>
      <c r="W157" s="3"/>
    </row>
    <row r="158" ht="12.75" customHeight="1">
      <c r="A158" s="39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6"/>
      <c r="W158" s="3"/>
    </row>
    <row r="159" ht="12.75" customHeight="1">
      <c r="A159" s="39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6"/>
      <c r="W159" s="3"/>
    </row>
    <row r="160" ht="12.75" customHeight="1">
      <c r="A160" s="39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6"/>
      <c r="W160" s="3"/>
    </row>
    <row r="161" ht="12.75" customHeight="1">
      <c r="A161" s="39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2"/>
      <c r="M161" s="2"/>
      <c r="N161" s="2"/>
      <c r="O161" s="3"/>
      <c r="P161" s="3"/>
      <c r="Q161" s="3"/>
      <c r="R161" s="3"/>
      <c r="S161" s="3"/>
      <c r="T161" s="3"/>
      <c r="U161" s="3"/>
      <c r="V161" s="6"/>
      <c r="W161" s="3"/>
    </row>
    <row r="162" ht="12.75" customHeight="1">
      <c r="A162" s="39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2"/>
      <c r="M162" s="2"/>
      <c r="N162" s="2"/>
      <c r="O162" s="3"/>
      <c r="P162" s="3"/>
      <c r="Q162" s="3"/>
      <c r="R162" s="3"/>
      <c r="S162" s="3"/>
      <c r="T162" s="3"/>
      <c r="U162" s="3"/>
      <c r="V162" s="6"/>
      <c r="W162" s="3"/>
    </row>
    <row r="163" ht="12.75" customHeight="1">
      <c r="A163" s="39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2"/>
      <c r="M163" s="2"/>
      <c r="N163" s="2"/>
      <c r="O163" s="3"/>
      <c r="P163" s="3"/>
      <c r="Q163" s="3"/>
      <c r="R163" s="3"/>
      <c r="S163" s="3"/>
      <c r="T163" s="3"/>
      <c r="U163" s="3"/>
      <c r="V163" s="6"/>
      <c r="W163" s="3"/>
    </row>
    <row r="164" ht="12.75" customHeight="1">
      <c r="A164" s="39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2"/>
      <c r="M164" s="2"/>
      <c r="N164" s="2"/>
      <c r="O164" s="3"/>
      <c r="P164" s="3"/>
      <c r="Q164" s="3"/>
      <c r="R164" s="3"/>
      <c r="S164" s="3"/>
      <c r="T164" s="3"/>
      <c r="U164" s="3"/>
      <c r="V164" s="6"/>
      <c r="W164" s="3"/>
    </row>
    <row r="165" ht="12.75" customHeight="1">
      <c r="A165" s="39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2"/>
      <c r="M165" s="2"/>
      <c r="N165" s="2"/>
      <c r="O165" s="3"/>
      <c r="P165" s="3"/>
      <c r="Q165" s="3"/>
      <c r="R165" s="3"/>
      <c r="S165" s="3"/>
      <c r="T165" s="3"/>
      <c r="U165" s="3"/>
      <c r="V165" s="6"/>
      <c r="W165" s="3"/>
    </row>
    <row r="166" ht="12.75" customHeight="1">
      <c r="A166" s="39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2"/>
      <c r="M166" s="2"/>
      <c r="N166" s="2"/>
      <c r="O166" s="3"/>
      <c r="P166" s="3"/>
      <c r="Q166" s="3"/>
      <c r="R166" s="3"/>
      <c r="S166" s="3"/>
      <c r="T166" s="3"/>
      <c r="U166" s="3"/>
      <c r="V166" s="6"/>
      <c r="W166" s="3"/>
    </row>
    <row r="167" ht="12.75" customHeight="1">
      <c r="A167" s="39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2"/>
      <c r="M167" s="2"/>
      <c r="N167" s="2"/>
      <c r="O167" s="3"/>
      <c r="P167" s="3"/>
      <c r="Q167" s="3"/>
      <c r="R167" s="3"/>
      <c r="S167" s="3"/>
      <c r="T167" s="3"/>
      <c r="U167" s="3"/>
      <c r="V167" s="6"/>
      <c r="W167" s="3"/>
    </row>
    <row r="168" ht="12.75" customHeight="1">
      <c r="A168" s="39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2"/>
      <c r="M168" s="2"/>
      <c r="N168" s="2"/>
      <c r="O168" s="3"/>
      <c r="P168" s="3"/>
      <c r="Q168" s="3"/>
      <c r="R168" s="3"/>
      <c r="S168" s="3"/>
      <c r="T168" s="3"/>
      <c r="U168" s="3"/>
      <c r="V168" s="6"/>
      <c r="W168" s="3"/>
    </row>
    <row r="169" ht="12.75" customHeight="1">
      <c r="A169" s="39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2"/>
      <c r="N169" s="2"/>
      <c r="O169" s="3"/>
      <c r="P169" s="3"/>
      <c r="Q169" s="3"/>
      <c r="R169" s="3"/>
      <c r="S169" s="3"/>
      <c r="T169" s="3"/>
      <c r="U169" s="3"/>
      <c r="V169" s="6"/>
      <c r="W169" s="3"/>
    </row>
    <row r="170" ht="12.75" customHeight="1">
      <c r="A170" s="39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2"/>
      <c r="N170" s="2"/>
      <c r="O170" s="3"/>
      <c r="P170" s="3"/>
      <c r="Q170" s="3"/>
      <c r="R170" s="3"/>
      <c r="S170" s="3"/>
      <c r="T170" s="3"/>
      <c r="U170" s="3"/>
      <c r="V170" s="6"/>
      <c r="W170" s="3"/>
    </row>
    <row r="171" ht="12.75" customHeight="1">
      <c r="A171" s="39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2"/>
      <c r="N171" s="2"/>
      <c r="O171" s="3"/>
      <c r="P171" s="3"/>
      <c r="Q171" s="3"/>
      <c r="R171" s="3"/>
      <c r="S171" s="3"/>
      <c r="T171" s="3"/>
      <c r="U171" s="3"/>
      <c r="V171" s="6"/>
      <c r="W171" s="3"/>
    </row>
    <row r="172" ht="12.75" customHeight="1">
      <c r="A172" s="39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6"/>
      <c r="W172" s="3"/>
    </row>
    <row r="173" ht="12.75" customHeight="1">
      <c r="A173" s="39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6"/>
      <c r="W173" s="3"/>
    </row>
    <row r="174" ht="12.75" customHeight="1">
      <c r="A174" s="39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2"/>
      <c r="N174" s="2"/>
      <c r="O174" s="3"/>
      <c r="P174" s="3"/>
      <c r="Q174" s="3"/>
      <c r="R174" s="3"/>
      <c r="S174" s="3"/>
      <c r="T174" s="3"/>
      <c r="U174" s="3"/>
      <c r="V174" s="6"/>
      <c r="W174" s="3"/>
    </row>
    <row r="175" ht="12.75" customHeight="1">
      <c r="A175" s="39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6"/>
      <c r="W175" s="3"/>
    </row>
    <row r="176" ht="12.75" customHeight="1">
      <c r="A176" s="39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6"/>
      <c r="W176" s="3"/>
    </row>
    <row r="177" ht="12.75" customHeight="1">
      <c r="A177" s="39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6"/>
      <c r="W177" s="3"/>
    </row>
    <row r="178" ht="12.75" customHeight="1">
      <c r="A178" s="39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2"/>
      <c r="N178" s="2"/>
      <c r="O178" s="3"/>
      <c r="P178" s="3"/>
      <c r="Q178" s="3"/>
      <c r="R178" s="3"/>
      <c r="S178" s="3"/>
      <c r="T178" s="3"/>
      <c r="U178" s="3"/>
      <c r="V178" s="6"/>
      <c r="W178" s="3"/>
    </row>
    <row r="179" ht="12.75" customHeight="1">
      <c r="A179" s="39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2"/>
      <c r="N179" s="2"/>
      <c r="O179" s="3"/>
      <c r="P179" s="3"/>
      <c r="Q179" s="3"/>
      <c r="R179" s="3"/>
      <c r="S179" s="3"/>
      <c r="T179" s="3"/>
      <c r="U179" s="3"/>
      <c r="V179" s="6"/>
      <c r="W179" s="3"/>
    </row>
    <row r="180" ht="12.75" customHeight="1">
      <c r="A180" s="39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2"/>
      <c r="N180" s="2"/>
      <c r="O180" s="3"/>
      <c r="P180" s="3"/>
      <c r="Q180" s="3"/>
      <c r="R180" s="3"/>
      <c r="S180" s="3"/>
      <c r="T180" s="3"/>
      <c r="U180" s="3"/>
      <c r="V180" s="6"/>
      <c r="W180" s="3"/>
    </row>
    <row r="181" ht="12.75" customHeight="1">
      <c r="A181" s="39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2"/>
      <c r="N181" s="2"/>
      <c r="O181" s="3"/>
      <c r="P181" s="3"/>
      <c r="Q181" s="3"/>
      <c r="R181" s="3"/>
      <c r="S181" s="3"/>
      <c r="T181" s="3"/>
      <c r="U181" s="3"/>
      <c r="V181" s="6"/>
      <c r="W181" s="3"/>
    </row>
    <row r="182" ht="12.75" customHeight="1">
      <c r="A182" s="39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2"/>
      <c r="N182" s="2"/>
      <c r="O182" s="3"/>
      <c r="P182" s="3"/>
      <c r="Q182" s="3"/>
      <c r="R182" s="3"/>
      <c r="S182" s="3"/>
      <c r="T182" s="3"/>
      <c r="U182" s="3"/>
      <c r="V182" s="6"/>
      <c r="W182" s="3"/>
    </row>
    <row r="183" ht="12.75" customHeight="1">
      <c r="A183" s="39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6"/>
      <c r="W183" s="3"/>
    </row>
    <row r="184" ht="12.75" customHeight="1">
      <c r="A184" s="39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2"/>
      <c r="N184" s="2"/>
      <c r="O184" s="3"/>
      <c r="P184" s="3"/>
      <c r="Q184" s="3"/>
      <c r="R184" s="3"/>
      <c r="S184" s="3"/>
      <c r="T184" s="3"/>
      <c r="U184" s="3"/>
      <c r="V184" s="6"/>
      <c r="W184" s="3"/>
    </row>
    <row r="185" ht="12.75" customHeight="1">
      <c r="A185" s="39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2"/>
      <c r="N185" s="2"/>
      <c r="O185" s="3"/>
      <c r="P185" s="3"/>
      <c r="Q185" s="3"/>
      <c r="R185" s="3"/>
      <c r="S185" s="3"/>
      <c r="T185" s="3"/>
      <c r="U185" s="3"/>
      <c r="V185" s="6"/>
      <c r="W185" s="3"/>
    </row>
    <row r="186" ht="12.75" customHeight="1">
      <c r="A186" s="39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2"/>
      <c r="N186" s="2"/>
      <c r="O186" s="3"/>
      <c r="P186" s="3"/>
      <c r="Q186" s="3"/>
      <c r="R186" s="3"/>
      <c r="S186" s="3"/>
      <c r="T186" s="3"/>
      <c r="U186" s="3"/>
      <c r="V186" s="6"/>
      <c r="W186" s="3"/>
    </row>
    <row r="187" ht="12.75" customHeight="1">
      <c r="A187" s="39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2"/>
      <c r="N187" s="2"/>
      <c r="O187" s="3"/>
      <c r="P187" s="3"/>
      <c r="Q187" s="3"/>
      <c r="R187" s="3"/>
      <c r="S187" s="3"/>
      <c r="T187" s="3"/>
      <c r="U187" s="3"/>
      <c r="V187" s="6"/>
      <c r="W187" s="3"/>
    </row>
    <row r="188" ht="12.75" customHeight="1">
      <c r="A188" s="39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2"/>
      <c r="N188" s="2"/>
      <c r="O188" s="3"/>
      <c r="P188" s="3"/>
      <c r="Q188" s="3"/>
      <c r="R188" s="3"/>
      <c r="S188" s="3"/>
      <c r="T188" s="3"/>
      <c r="U188" s="3"/>
      <c r="V188" s="6"/>
      <c r="W188" s="3"/>
    </row>
    <row r="189" ht="12.75" customHeight="1">
      <c r="A189" s="39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2"/>
      <c r="N189" s="2"/>
      <c r="O189" s="3"/>
      <c r="P189" s="3"/>
      <c r="Q189" s="3"/>
      <c r="R189" s="3"/>
      <c r="S189" s="3"/>
      <c r="T189" s="3"/>
      <c r="U189" s="3"/>
      <c r="V189" s="6"/>
      <c r="W189" s="3"/>
    </row>
    <row r="190" ht="12.75" customHeight="1">
      <c r="A190" s="39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2"/>
      <c r="N190" s="2"/>
      <c r="O190" s="3"/>
      <c r="P190" s="3"/>
      <c r="Q190" s="3"/>
      <c r="R190" s="3"/>
      <c r="S190" s="3"/>
      <c r="T190" s="3"/>
      <c r="U190" s="3"/>
      <c r="V190" s="6"/>
      <c r="W190" s="3"/>
    </row>
    <row r="191" ht="12.75" customHeight="1">
      <c r="A191" s="39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6"/>
      <c r="W191" s="3"/>
    </row>
    <row r="192" ht="12.75" customHeight="1">
      <c r="A192" s="39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2"/>
      <c r="N192" s="2"/>
      <c r="O192" s="3"/>
      <c r="P192" s="3"/>
      <c r="Q192" s="3"/>
      <c r="R192" s="3"/>
      <c r="S192" s="3"/>
      <c r="T192" s="3"/>
      <c r="U192" s="3"/>
      <c r="V192" s="6"/>
      <c r="W192" s="3"/>
    </row>
    <row r="193" ht="12.75" customHeight="1">
      <c r="A193" s="39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2"/>
      <c r="N193" s="2"/>
      <c r="O193" s="3"/>
      <c r="P193" s="3"/>
      <c r="Q193" s="3"/>
      <c r="R193" s="3"/>
      <c r="S193" s="3"/>
      <c r="T193" s="3"/>
      <c r="U193" s="3"/>
      <c r="V193" s="6"/>
      <c r="W193" s="3"/>
    </row>
    <row r="194" ht="12.75" customHeight="1">
      <c r="A194" s="39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2"/>
      <c r="N194" s="2"/>
      <c r="O194" s="3"/>
      <c r="P194" s="3"/>
      <c r="Q194" s="3"/>
      <c r="R194" s="3"/>
      <c r="S194" s="3"/>
      <c r="T194" s="3"/>
      <c r="U194" s="3"/>
      <c r="V194" s="6"/>
      <c r="W194" s="3"/>
    </row>
    <row r="195" ht="12.75" customHeight="1">
      <c r="A195" s="39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2"/>
      <c r="N195" s="2"/>
      <c r="O195" s="3"/>
      <c r="P195" s="3"/>
      <c r="Q195" s="3"/>
      <c r="R195" s="3"/>
      <c r="S195" s="3"/>
      <c r="T195" s="3"/>
      <c r="U195" s="3"/>
      <c r="V195" s="6"/>
      <c r="W195" s="3"/>
    </row>
    <row r="196" ht="12.75" customHeight="1">
      <c r="A196" s="39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2"/>
      <c r="N196" s="2"/>
      <c r="O196" s="3"/>
      <c r="P196" s="3"/>
      <c r="Q196" s="3"/>
      <c r="R196" s="3"/>
      <c r="S196" s="3"/>
      <c r="T196" s="3"/>
      <c r="U196" s="3"/>
      <c r="V196" s="6"/>
      <c r="W196" s="3"/>
    </row>
    <row r="197" ht="12.75" customHeight="1">
      <c r="A197" s="39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2"/>
      <c r="N197" s="2"/>
      <c r="O197" s="3"/>
      <c r="P197" s="3"/>
      <c r="Q197" s="3"/>
      <c r="R197" s="3"/>
      <c r="S197" s="3"/>
      <c r="T197" s="3"/>
      <c r="U197" s="3"/>
      <c r="V197" s="6"/>
      <c r="W197" s="3"/>
    </row>
    <row r="198" ht="12.75" customHeight="1">
      <c r="A198" s="39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2"/>
      <c r="N198" s="2"/>
      <c r="O198" s="3"/>
      <c r="P198" s="3"/>
      <c r="Q198" s="3"/>
      <c r="R198" s="3"/>
      <c r="S198" s="3"/>
      <c r="T198" s="3"/>
      <c r="U198" s="3"/>
      <c r="V198" s="6"/>
      <c r="W198" s="3"/>
    </row>
    <row r="199" ht="12.75" customHeight="1">
      <c r="A199" s="39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2"/>
      <c r="N199" s="2"/>
      <c r="O199" s="3"/>
      <c r="P199" s="3"/>
      <c r="Q199" s="3"/>
      <c r="R199" s="3"/>
      <c r="S199" s="3"/>
      <c r="T199" s="3"/>
      <c r="U199" s="3"/>
      <c r="V199" s="6"/>
      <c r="W199" s="3"/>
    </row>
    <row r="200" ht="12.75" customHeight="1">
      <c r="A200" s="39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2"/>
      <c r="N200" s="2"/>
      <c r="O200" s="3"/>
      <c r="P200" s="3"/>
      <c r="Q200" s="3"/>
      <c r="R200" s="3"/>
      <c r="S200" s="3"/>
      <c r="T200" s="3"/>
      <c r="U200" s="3"/>
      <c r="V200" s="6"/>
      <c r="W200" s="3"/>
    </row>
    <row r="201" ht="12.75" customHeight="1">
      <c r="A201" s="39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2"/>
      <c r="N201" s="2"/>
      <c r="O201" s="3"/>
      <c r="P201" s="3"/>
      <c r="Q201" s="3"/>
      <c r="R201" s="3"/>
      <c r="S201" s="3"/>
      <c r="T201" s="3"/>
      <c r="U201" s="3"/>
      <c r="V201" s="6"/>
      <c r="W201" s="3"/>
    </row>
    <row r="202" ht="12.75" customHeight="1">
      <c r="A202" s="39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2"/>
      <c r="N202" s="2"/>
      <c r="O202" s="3"/>
      <c r="P202" s="3"/>
      <c r="Q202" s="3"/>
      <c r="R202" s="3"/>
      <c r="S202" s="3"/>
      <c r="T202" s="3"/>
      <c r="U202" s="3"/>
      <c r="V202" s="6"/>
      <c r="W202" s="3"/>
    </row>
    <row r="203" ht="12.75" customHeight="1">
      <c r="A203" s="39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2"/>
      <c r="N203" s="2"/>
      <c r="O203" s="3"/>
      <c r="P203" s="3"/>
      <c r="Q203" s="3"/>
      <c r="R203" s="3"/>
      <c r="S203" s="3"/>
      <c r="T203" s="3"/>
      <c r="U203" s="3"/>
      <c r="V203" s="6"/>
      <c r="W203" s="3"/>
    </row>
    <row r="204" ht="12.75" customHeight="1">
      <c r="A204" s="39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2"/>
      <c r="N204" s="2"/>
      <c r="O204" s="3"/>
      <c r="P204" s="3"/>
      <c r="Q204" s="3"/>
      <c r="R204" s="3"/>
      <c r="S204" s="3"/>
      <c r="T204" s="3"/>
      <c r="U204" s="3"/>
      <c r="V204" s="6"/>
      <c r="W204" s="3"/>
    </row>
    <row r="205" ht="12.75" customHeight="1">
      <c r="A205" s="39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2"/>
      <c r="N205" s="2"/>
      <c r="O205" s="3"/>
      <c r="P205" s="3"/>
      <c r="Q205" s="3"/>
      <c r="R205" s="3"/>
      <c r="S205" s="3"/>
      <c r="T205" s="3"/>
      <c r="U205" s="3"/>
      <c r="V205" s="6"/>
      <c r="W205" s="3"/>
    </row>
    <row r="206" ht="12.75" customHeight="1">
      <c r="A206" s="39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6"/>
      <c r="W206" s="3"/>
    </row>
    <row r="207" ht="12.75" customHeight="1">
      <c r="A207" s="39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2"/>
      <c r="N207" s="2"/>
      <c r="O207" s="3"/>
      <c r="P207" s="3"/>
      <c r="Q207" s="3"/>
      <c r="R207" s="3"/>
      <c r="S207" s="3"/>
      <c r="T207" s="3"/>
      <c r="U207" s="3"/>
      <c r="V207" s="6"/>
      <c r="W207" s="3"/>
    </row>
    <row r="208" ht="12.75" customHeight="1">
      <c r="A208" s="39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2"/>
      <c r="N208" s="2"/>
      <c r="O208" s="3"/>
      <c r="P208" s="3"/>
      <c r="Q208" s="3"/>
      <c r="R208" s="3"/>
      <c r="S208" s="3"/>
      <c r="T208" s="3"/>
      <c r="U208" s="3"/>
      <c r="V208" s="6"/>
      <c r="W208" s="3"/>
    </row>
    <row r="209" ht="12.75" customHeight="1">
      <c r="A209" s="39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2"/>
      <c r="N209" s="2"/>
      <c r="O209" s="3"/>
      <c r="P209" s="3"/>
      <c r="Q209" s="3"/>
      <c r="R209" s="3"/>
      <c r="S209" s="3"/>
      <c r="T209" s="3"/>
      <c r="U209" s="3"/>
      <c r="V209" s="6"/>
      <c r="W209" s="3"/>
    </row>
    <row r="210" ht="12.75" customHeight="1">
      <c r="A210" s="39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2"/>
      <c r="N210" s="2"/>
      <c r="O210" s="3"/>
      <c r="P210" s="3"/>
      <c r="Q210" s="3"/>
      <c r="R210" s="3"/>
      <c r="S210" s="3"/>
      <c r="T210" s="3"/>
      <c r="U210" s="3"/>
      <c r="V210" s="6"/>
      <c r="W210" s="3"/>
    </row>
    <row r="211" ht="12.75" customHeight="1">
      <c r="A211" s="39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2"/>
      <c r="N211" s="2"/>
      <c r="O211" s="3"/>
      <c r="P211" s="3"/>
      <c r="Q211" s="3"/>
      <c r="R211" s="3"/>
      <c r="S211" s="3"/>
      <c r="T211" s="3"/>
      <c r="U211" s="3"/>
      <c r="V211" s="6"/>
      <c r="W211" s="3"/>
    </row>
    <row r="212" ht="12.75" customHeight="1">
      <c r="A212" s="39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2"/>
      <c r="N212" s="2"/>
      <c r="O212" s="3"/>
      <c r="P212" s="3"/>
      <c r="Q212" s="3"/>
      <c r="R212" s="3"/>
      <c r="S212" s="3"/>
      <c r="T212" s="3"/>
      <c r="U212" s="3"/>
      <c r="V212" s="6"/>
      <c r="W212" s="3"/>
    </row>
    <row r="213" ht="12.75" customHeight="1">
      <c r="A213" s="39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6"/>
      <c r="W213" s="3"/>
    </row>
    <row r="214" ht="12.75" customHeight="1">
      <c r="A214" s="39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6"/>
      <c r="W214" s="3"/>
    </row>
    <row r="215" ht="12.75" customHeight="1">
      <c r="A215" s="39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2"/>
      <c r="N215" s="2"/>
      <c r="O215" s="3"/>
      <c r="P215" s="3"/>
      <c r="Q215" s="3"/>
      <c r="R215" s="3"/>
      <c r="S215" s="3"/>
      <c r="T215" s="3"/>
      <c r="U215" s="3"/>
      <c r="V215" s="6"/>
      <c r="W215" s="3"/>
    </row>
    <row r="216" ht="12.75" customHeight="1">
      <c r="A216" s="39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2"/>
      <c r="N216" s="2"/>
      <c r="O216" s="3"/>
      <c r="P216" s="3"/>
      <c r="Q216" s="3"/>
      <c r="R216" s="3"/>
      <c r="S216" s="3"/>
      <c r="T216" s="3"/>
      <c r="U216" s="3"/>
      <c r="V216" s="6"/>
      <c r="W216" s="3"/>
    </row>
    <row r="217" ht="12.75" customHeight="1">
      <c r="A217" s="39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2"/>
      <c r="N217" s="2"/>
      <c r="O217" s="3"/>
      <c r="P217" s="3"/>
      <c r="Q217" s="3"/>
      <c r="R217" s="3"/>
      <c r="S217" s="3"/>
      <c r="T217" s="3"/>
      <c r="U217" s="3"/>
      <c r="V217" s="6"/>
      <c r="W217" s="3"/>
    </row>
    <row r="218" ht="12.75" customHeight="1">
      <c r="A218" s="39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2"/>
      <c r="N218" s="2"/>
      <c r="O218" s="3"/>
      <c r="P218" s="3"/>
      <c r="Q218" s="3"/>
      <c r="R218" s="3"/>
      <c r="S218" s="3"/>
      <c r="T218" s="3"/>
      <c r="U218" s="3"/>
      <c r="V218" s="6"/>
      <c r="W218" s="3"/>
    </row>
    <row r="219" ht="12.75" customHeight="1">
      <c r="A219" s="39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2"/>
      <c r="N219" s="2"/>
      <c r="O219" s="3"/>
      <c r="P219" s="3"/>
      <c r="Q219" s="3"/>
      <c r="R219" s="3"/>
      <c r="S219" s="3"/>
      <c r="T219" s="3"/>
      <c r="U219" s="3"/>
      <c r="V219" s="6"/>
      <c r="W219" s="3"/>
    </row>
    <row r="220" ht="12.75" customHeight="1">
      <c r="A220" s="39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2"/>
      <c r="N220" s="2"/>
      <c r="O220" s="3"/>
      <c r="P220" s="3"/>
      <c r="Q220" s="3"/>
      <c r="R220" s="3"/>
      <c r="S220" s="3"/>
      <c r="T220" s="3"/>
      <c r="U220" s="3"/>
      <c r="V220" s="6"/>
      <c r="W220" s="3"/>
    </row>
    <row r="221" ht="12.75" customHeight="1">
      <c r="A221" s="39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2"/>
      <c r="N221" s="2"/>
      <c r="O221" s="3"/>
      <c r="P221" s="3"/>
      <c r="Q221" s="3"/>
      <c r="R221" s="3"/>
      <c r="S221" s="3"/>
      <c r="T221" s="3"/>
      <c r="U221" s="3"/>
      <c r="V221" s="6"/>
      <c r="W221" s="3"/>
    </row>
    <row r="222" ht="12.75" customHeight="1">
      <c r="A222" s="39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2"/>
      <c r="N222" s="2"/>
      <c r="O222" s="3"/>
      <c r="P222" s="3"/>
      <c r="Q222" s="3"/>
      <c r="R222" s="3"/>
      <c r="S222" s="3"/>
      <c r="T222" s="3"/>
      <c r="U222" s="3"/>
      <c r="V222" s="6"/>
      <c r="W222" s="3"/>
    </row>
    <row r="223" ht="12.75" customHeight="1">
      <c r="A223" s="39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2"/>
      <c r="N223" s="2"/>
      <c r="O223" s="3"/>
      <c r="P223" s="3"/>
      <c r="Q223" s="3"/>
      <c r="R223" s="3"/>
      <c r="S223" s="3"/>
      <c r="T223" s="3"/>
      <c r="U223" s="3"/>
      <c r="V223" s="6"/>
      <c r="W223" s="3"/>
    </row>
    <row r="224" ht="12.75" customHeight="1">
      <c r="A224" s="39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2"/>
      <c r="N224" s="2"/>
      <c r="O224" s="3"/>
      <c r="P224" s="3"/>
      <c r="Q224" s="3"/>
      <c r="R224" s="3"/>
      <c r="S224" s="3"/>
      <c r="T224" s="3"/>
      <c r="U224" s="3"/>
      <c r="V224" s="6"/>
      <c r="W224" s="3"/>
    </row>
    <row r="225" ht="12.75" customHeight="1">
      <c r="A225" s="39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6"/>
      <c r="W225" s="3"/>
    </row>
    <row r="226" ht="12.75" customHeight="1">
      <c r="A226" s="39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2"/>
      <c r="N226" s="2"/>
      <c r="O226" s="3"/>
      <c r="P226" s="3"/>
      <c r="Q226" s="3"/>
      <c r="R226" s="3"/>
      <c r="S226" s="3"/>
      <c r="T226" s="3"/>
      <c r="U226" s="3"/>
      <c r="V226" s="6"/>
      <c r="W226" s="3"/>
    </row>
    <row r="227" ht="12.75" customHeight="1">
      <c r="A227" s="39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6"/>
      <c r="W227" s="3"/>
    </row>
    <row r="228" ht="12.75" customHeight="1">
      <c r="A228" s="39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6"/>
      <c r="W228" s="3"/>
    </row>
    <row r="229" ht="12.75" customHeight="1">
      <c r="A229" s="39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2"/>
      <c r="N229" s="2"/>
      <c r="O229" s="3"/>
      <c r="P229" s="3"/>
      <c r="Q229" s="3"/>
      <c r="R229" s="3"/>
      <c r="S229" s="3"/>
      <c r="T229" s="3"/>
      <c r="U229" s="3"/>
      <c r="V229" s="6"/>
      <c r="W229" s="3"/>
    </row>
    <row r="230" ht="12.75" customHeight="1">
      <c r="A230" s="39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2"/>
      <c r="N230" s="2"/>
      <c r="O230" s="3"/>
      <c r="P230" s="3"/>
      <c r="Q230" s="3"/>
      <c r="R230" s="3"/>
      <c r="S230" s="3"/>
      <c r="T230" s="3"/>
      <c r="U230" s="3"/>
      <c r="V230" s="6"/>
      <c r="W230" s="3"/>
    </row>
    <row r="231" ht="12.75" customHeight="1">
      <c r="A231" s="39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2"/>
      <c r="N231" s="2"/>
      <c r="O231" s="3"/>
      <c r="P231" s="3"/>
      <c r="Q231" s="3"/>
      <c r="R231" s="3"/>
      <c r="S231" s="3"/>
      <c r="T231" s="3"/>
      <c r="U231" s="3"/>
      <c r="V231" s="6"/>
      <c r="W231" s="3"/>
    </row>
    <row r="232" ht="12.75" customHeight="1">
      <c r="A232" s="39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2"/>
      <c r="N232" s="2"/>
      <c r="O232" s="3"/>
      <c r="P232" s="3"/>
      <c r="Q232" s="3"/>
      <c r="R232" s="3"/>
      <c r="S232" s="3"/>
      <c r="T232" s="3"/>
      <c r="U232" s="3"/>
      <c r="V232" s="6"/>
      <c r="W232" s="3"/>
    </row>
    <row r="233" ht="12.75" customHeight="1">
      <c r="A233" s="39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2"/>
      <c r="N233" s="2"/>
      <c r="O233" s="3"/>
      <c r="P233" s="3"/>
      <c r="Q233" s="3"/>
      <c r="R233" s="3"/>
      <c r="S233" s="3"/>
      <c r="T233" s="3"/>
      <c r="U233" s="3"/>
      <c r="V233" s="6"/>
      <c r="W233" s="3"/>
    </row>
    <row r="234" ht="12.75" customHeight="1">
      <c r="A234" s="39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2"/>
      <c r="N234" s="2"/>
      <c r="O234" s="3"/>
      <c r="P234" s="3"/>
      <c r="Q234" s="3"/>
      <c r="R234" s="3"/>
      <c r="S234" s="3"/>
      <c r="T234" s="3"/>
      <c r="U234" s="3"/>
      <c r="V234" s="6"/>
      <c r="W234" s="3"/>
    </row>
    <row r="235" ht="12.75" customHeight="1">
      <c r="A235" s="39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2"/>
      <c r="N235" s="2"/>
      <c r="O235" s="3"/>
      <c r="P235" s="3"/>
      <c r="Q235" s="3"/>
      <c r="R235" s="3"/>
      <c r="S235" s="3"/>
      <c r="T235" s="3"/>
      <c r="U235" s="3"/>
      <c r="V235" s="6"/>
      <c r="W235" s="3"/>
    </row>
    <row r="236" ht="12.75" customHeight="1">
      <c r="A236" s="39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2"/>
      <c r="N236" s="2"/>
      <c r="O236" s="3"/>
      <c r="P236" s="3"/>
      <c r="Q236" s="3"/>
      <c r="R236" s="3"/>
      <c r="S236" s="3"/>
      <c r="T236" s="3"/>
      <c r="U236" s="3"/>
      <c r="V236" s="6"/>
      <c r="W236" s="3"/>
    </row>
    <row r="237" ht="12.75" customHeight="1">
      <c r="A237" s="39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2"/>
      <c r="N237" s="2"/>
      <c r="O237" s="3"/>
      <c r="P237" s="3"/>
      <c r="Q237" s="3"/>
      <c r="R237" s="3"/>
      <c r="S237" s="3"/>
      <c r="T237" s="3"/>
      <c r="U237" s="3"/>
      <c r="V237" s="6"/>
      <c r="W237" s="3"/>
    </row>
    <row r="238" ht="12.75" customHeight="1">
      <c r="A238" s="39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6"/>
      <c r="W238" s="3"/>
    </row>
    <row r="239" ht="12.75" customHeight="1">
      <c r="A239" s="39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2"/>
      <c r="N239" s="2"/>
      <c r="O239" s="3"/>
      <c r="P239" s="3"/>
      <c r="Q239" s="3"/>
      <c r="R239" s="3"/>
      <c r="S239" s="3"/>
      <c r="T239" s="3"/>
      <c r="U239" s="3"/>
      <c r="V239" s="6"/>
      <c r="W239" s="3"/>
    </row>
    <row r="240" ht="12.75" customHeight="1">
      <c r="A240" s="39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2"/>
      <c r="N240" s="2"/>
      <c r="O240" s="3"/>
      <c r="P240" s="3"/>
      <c r="Q240" s="3"/>
      <c r="R240" s="3"/>
      <c r="S240" s="3"/>
      <c r="T240" s="3"/>
      <c r="U240" s="3"/>
      <c r="V240" s="6"/>
      <c r="W240" s="3"/>
    </row>
    <row r="241" ht="12.75" customHeight="1">
      <c r="A241" s="39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2"/>
      <c r="N241" s="2"/>
      <c r="O241" s="3"/>
      <c r="P241" s="3"/>
      <c r="Q241" s="3"/>
      <c r="R241" s="3"/>
      <c r="S241" s="3"/>
      <c r="T241" s="3"/>
      <c r="U241" s="3"/>
      <c r="V241" s="6"/>
      <c r="W241" s="3"/>
    </row>
    <row r="242" ht="12.75" customHeight="1">
      <c r="A242" s="39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2"/>
      <c r="N242" s="2"/>
      <c r="O242" s="3"/>
      <c r="P242" s="3"/>
      <c r="Q242" s="3"/>
      <c r="R242" s="3"/>
      <c r="S242" s="3"/>
      <c r="T242" s="3"/>
      <c r="U242" s="3"/>
      <c r="V242" s="6"/>
      <c r="W242" s="3"/>
    </row>
    <row r="243" ht="12.75" customHeight="1">
      <c r="A243" s="39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2"/>
      <c r="N243" s="2"/>
      <c r="O243" s="3"/>
      <c r="P243" s="3"/>
      <c r="Q243" s="3"/>
      <c r="R243" s="3"/>
      <c r="S243" s="3"/>
      <c r="T243" s="3"/>
      <c r="U243" s="3"/>
      <c r="V243" s="6"/>
      <c r="W243" s="3"/>
    </row>
    <row r="244" ht="12.75" customHeight="1">
      <c r="A244" s="39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2"/>
      <c r="N244" s="2"/>
      <c r="O244" s="3"/>
      <c r="P244" s="3"/>
      <c r="Q244" s="3"/>
      <c r="R244" s="3"/>
      <c r="S244" s="3"/>
      <c r="T244" s="3"/>
      <c r="U244" s="3"/>
      <c r="V244" s="6"/>
      <c r="W244" s="3"/>
    </row>
    <row r="245" ht="12.75" customHeight="1">
      <c r="A245" s="39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2"/>
      <c r="N245" s="2"/>
      <c r="O245" s="3"/>
      <c r="P245" s="3"/>
      <c r="Q245" s="3"/>
      <c r="R245" s="3"/>
      <c r="S245" s="3"/>
      <c r="T245" s="3"/>
      <c r="U245" s="3"/>
      <c r="V245" s="6"/>
      <c r="W245" s="3"/>
    </row>
    <row r="246" ht="12.75" customHeight="1">
      <c r="A246" s="39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2"/>
      <c r="N246" s="2"/>
      <c r="O246" s="3"/>
      <c r="P246" s="3"/>
      <c r="Q246" s="3"/>
      <c r="R246" s="3"/>
      <c r="S246" s="3"/>
      <c r="T246" s="3"/>
      <c r="U246" s="3"/>
      <c r="V246" s="6"/>
      <c r="W246" s="3"/>
    </row>
    <row r="247" ht="12.75" customHeight="1">
      <c r="A247" s="39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2"/>
      <c r="N247" s="2"/>
      <c r="O247" s="3"/>
      <c r="P247" s="3"/>
      <c r="Q247" s="3"/>
      <c r="R247" s="3"/>
      <c r="S247" s="3"/>
      <c r="T247" s="3"/>
      <c r="U247" s="3"/>
      <c r="V247" s="6"/>
      <c r="W247" s="3"/>
    </row>
    <row r="248" ht="12.75" customHeight="1">
      <c r="A248" s="39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2"/>
      <c r="N248" s="2"/>
      <c r="O248" s="3"/>
      <c r="P248" s="3"/>
      <c r="Q248" s="3"/>
      <c r="R248" s="3"/>
      <c r="S248" s="3"/>
      <c r="T248" s="3"/>
      <c r="U248" s="3"/>
      <c r="V248" s="6"/>
      <c r="W248" s="3"/>
    </row>
    <row r="249" ht="12.75" customHeight="1">
      <c r="A249" s="39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2"/>
      <c r="N249" s="2"/>
      <c r="O249" s="3"/>
      <c r="P249" s="3"/>
      <c r="Q249" s="3"/>
      <c r="R249" s="3"/>
      <c r="S249" s="3"/>
      <c r="T249" s="3"/>
      <c r="U249" s="3"/>
      <c r="V249" s="6"/>
      <c r="W249" s="3"/>
    </row>
    <row r="250" ht="12.75" customHeight="1">
      <c r="A250" s="39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2"/>
      <c r="N250" s="2"/>
      <c r="O250" s="3"/>
      <c r="P250" s="3"/>
      <c r="Q250" s="3"/>
      <c r="R250" s="3"/>
      <c r="S250" s="3"/>
      <c r="T250" s="3"/>
      <c r="U250" s="3"/>
      <c r="V250" s="6"/>
      <c r="W250" s="3"/>
    </row>
    <row r="251" ht="12.75" customHeight="1">
      <c r="A251" s="39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2"/>
      <c r="N251" s="2"/>
      <c r="O251" s="3"/>
      <c r="P251" s="3"/>
      <c r="Q251" s="3"/>
      <c r="R251" s="3"/>
      <c r="S251" s="3"/>
      <c r="T251" s="3"/>
      <c r="U251" s="3"/>
      <c r="V251" s="6"/>
      <c r="W251" s="3"/>
    </row>
    <row r="252" ht="12.75" customHeight="1">
      <c r="A252" s="39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2"/>
      <c r="N252" s="2"/>
      <c r="O252" s="3"/>
      <c r="P252" s="3"/>
      <c r="Q252" s="3"/>
      <c r="R252" s="3"/>
      <c r="S252" s="3"/>
      <c r="T252" s="3"/>
      <c r="U252" s="3"/>
      <c r="V252" s="6"/>
      <c r="W252" s="3"/>
    </row>
    <row r="253" ht="12.75" customHeight="1">
      <c r="A253" s="39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2"/>
      <c r="N253" s="2"/>
      <c r="O253" s="3"/>
      <c r="P253" s="3"/>
      <c r="Q253" s="3"/>
      <c r="R253" s="3"/>
      <c r="S253" s="3"/>
      <c r="T253" s="3"/>
      <c r="U253" s="3"/>
      <c r="V253" s="6"/>
      <c r="W253" s="3"/>
    </row>
    <row r="254" ht="12.75" customHeight="1">
      <c r="A254" s="39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2"/>
      <c r="N254" s="2"/>
      <c r="O254" s="3"/>
      <c r="P254" s="3"/>
      <c r="Q254" s="3"/>
      <c r="R254" s="3"/>
      <c r="S254" s="3"/>
      <c r="T254" s="3"/>
      <c r="U254" s="3"/>
      <c r="V254" s="6"/>
      <c r="W254" s="3"/>
    </row>
    <row r="255" ht="14.25" customHeight="1">
      <c r="A255" s="63"/>
      <c r="B255" s="53"/>
      <c r="C255" s="53"/>
      <c r="D255" s="53"/>
      <c r="E255" s="53"/>
      <c r="F255" s="3"/>
      <c r="G255" s="3"/>
      <c r="H255" s="3"/>
      <c r="I255" s="3"/>
      <c r="J255" s="3"/>
      <c r="K255" s="3"/>
      <c r="L255" s="53"/>
      <c r="M255" s="53"/>
      <c r="N255" s="53"/>
      <c r="O255" s="3"/>
      <c r="P255" s="3"/>
      <c r="Q255" s="3"/>
      <c r="R255" s="3"/>
      <c r="S255" s="3"/>
      <c r="T255" s="3"/>
      <c r="U255" s="3"/>
      <c r="V255" s="40"/>
      <c r="W255" s="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0.43"/>
    <col customWidth="1" min="3" max="3" width="36.57"/>
    <col customWidth="1" min="4" max="4" width="17.14"/>
    <col customWidth="1" min="5" max="5" width="15.0"/>
    <col customWidth="1" min="6" max="6" width="32.86"/>
    <col customWidth="1" min="7" max="8" width="19.29"/>
    <col customWidth="1" min="9" max="9" width="32.29"/>
    <col customWidth="1" min="10" max="11" width="19.29"/>
    <col customWidth="1" min="12" max="12" width="16.71"/>
    <col customWidth="1" min="13" max="20" width="13.57"/>
  </cols>
  <sheetData>
    <row r="1">
      <c r="A1" s="6"/>
      <c r="B1" s="2" t="s">
        <v>816</v>
      </c>
      <c r="C1" s="3" t="s">
        <v>1212</v>
      </c>
      <c r="D1" s="45"/>
      <c r="E1" s="45"/>
      <c r="F1" s="2"/>
      <c r="G1" s="2"/>
      <c r="H1" s="2"/>
      <c r="I1" s="3"/>
      <c r="J1" s="3"/>
      <c r="K1" s="3"/>
      <c r="L1" s="35"/>
      <c r="M1" s="3"/>
      <c r="N1" s="3"/>
      <c r="O1" s="3"/>
      <c r="P1" s="3"/>
      <c r="Q1" s="3"/>
      <c r="R1" s="3"/>
      <c r="S1" s="3"/>
      <c r="T1" s="4">
        <v>1.0</v>
      </c>
    </row>
    <row r="2">
      <c r="A2" s="52" t="s">
        <v>1020</v>
      </c>
      <c r="D2" s="5" t="s">
        <v>1</v>
      </c>
      <c r="E2" s="53" t="s">
        <v>1021</v>
      </c>
      <c r="F2" s="3"/>
      <c r="G2" s="3"/>
      <c r="H2" s="3"/>
      <c r="I2" s="3"/>
      <c r="J2" s="3"/>
      <c r="K2" s="3"/>
      <c r="L2" s="35"/>
      <c r="M2" s="3"/>
      <c r="N2" s="3"/>
      <c r="O2" s="3"/>
      <c r="P2" s="3"/>
      <c r="Q2" s="3"/>
      <c r="R2" s="3"/>
      <c r="S2" s="3"/>
      <c r="T2" s="6"/>
    </row>
    <row r="3">
      <c r="A3" s="64"/>
      <c r="B3" s="65"/>
      <c r="C3" s="8" t="s">
        <v>2</v>
      </c>
      <c r="D3" s="9"/>
      <c r="E3" s="10"/>
      <c r="F3" s="13" t="s">
        <v>3</v>
      </c>
      <c r="G3" s="9"/>
      <c r="H3" s="10"/>
      <c r="I3" s="15" t="s">
        <v>6</v>
      </c>
      <c r="J3" s="9"/>
      <c r="K3" s="10"/>
      <c r="L3" s="45"/>
      <c r="M3" s="3"/>
      <c r="N3" s="3"/>
      <c r="O3" s="3"/>
      <c r="P3" s="3"/>
      <c r="Q3" s="3"/>
      <c r="R3" s="3"/>
      <c r="S3" s="3"/>
      <c r="T3" s="6"/>
    </row>
    <row r="4">
      <c r="A4" s="57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20" t="s">
        <v>12</v>
      </c>
      <c r="G4" s="20" t="s">
        <v>13</v>
      </c>
      <c r="H4" s="20" t="s">
        <v>16</v>
      </c>
      <c r="I4" s="23" t="s">
        <v>20</v>
      </c>
      <c r="J4" s="23" t="s">
        <v>21</v>
      </c>
      <c r="K4" s="23" t="s">
        <v>22</v>
      </c>
      <c r="L4" s="46"/>
      <c r="M4" s="3"/>
      <c r="N4" s="3"/>
      <c r="O4" s="3"/>
      <c r="P4" s="3"/>
      <c r="Q4" s="3"/>
      <c r="R4" s="3"/>
      <c r="S4" s="3"/>
      <c r="T4" s="6"/>
    </row>
    <row r="5" ht="30.0" customHeight="1">
      <c r="A5" s="6">
        <v>1.0</v>
      </c>
      <c r="B5" s="24" t="s">
        <v>1023</v>
      </c>
      <c r="C5" s="66" t="s">
        <v>1024</v>
      </c>
      <c r="D5" s="67">
        <v>0.0</v>
      </c>
      <c r="E5" s="67">
        <v>27.9191734790802</v>
      </c>
      <c r="F5" s="29" t="s">
        <v>1213</v>
      </c>
      <c r="G5" s="28">
        <v>0.0</v>
      </c>
      <c r="H5" s="28">
        <v>0.795976877212524</v>
      </c>
      <c r="I5" s="49" t="s">
        <v>1026</v>
      </c>
      <c r="J5" s="50">
        <v>0.0</v>
      </c>
      <c r="K5" s="50">
        <v>3.88203763961792</v>
      </c>
      <c r="L5" s="35">
        <f t="shared" ref="L5:L55" si="1">E5/K5</f>
        <v>7.191886342</v>
      </c>
      <c r="M5" s="3">
        <v>7.191886341892367</v>
      </c>
      <c r="N5" s="3"/>
      <c r="O5" s="3"/>
      <c r="P5" s="3"/>
      <c r="Q5" s="3"/>
      <c r="R5" s="3"/>
      <c r="S5" s="3"/>
      <c r="T5" s="6"/>
    </row>
    <row r="6" ht="30.0" customHeight="1">
      <c r="A6" s="6">
        <v>2.0</v>
      </c>
      <c r="B6" s="24" t="s">
        <v>1027</v>
      </c>
      <c r="C6" s="66" t="s">
        <v>1028</v>
      </c>
      <c r="D6" s="67">
        <v>0.0</v>
      </c>
      <c r="E6" s="67">
        <v>28.0793166160583</v>
      </c>
      <c r="F6" s="29" t="s">
        <v>1214</v>
      </c>
      <c r="G6" s="28">
        <v>0.0</v>
      </c>
      <c r="H6" s="28">
        <v>0.523017168045044</v>
      </c>
      <c r="I6" s="49" t="s">
        <v>1030</v>
      </c>
      <c r="J6" s="50">
        <v>0.0</v>
      </c>
      <c r="K6" s="50">
        <v>1.73457384109497</v>
      </c>
      <c r="L6" s="35">
        <f t="shared" si="1"/>
        <v>16.18802034</v>
      </c>
      <c r="M6" s="3">
        <v>16.188020337221793</v>
      </c>
      <c r="N6" s="3"/>
      <c r="O6" s="3"/>
      <c r="P6" s="3"/>
      <c r="Q6" s="3"/>
      <c r="R6" s="3"/>
      <c r="S6" s="3"/>
      <c r="T6" s="6"/>
    </row>
    <row r="7" ht="30.0" customHeight="1">
      <c r="A7" s="6">
        <v>3.0</v>
      </c>
      <c r="B7" s="24" t="s">
        <v>1031</v>
      </c>
      <c r="C7" s="66" t="s">
        <v>1032</v>
      </c>
      <c r="D7" s="67">
        <v>0.0</v>
      </c>
      <c r="E7" s="67">
        <v>27.7432055473327</v>
      </c>
      <c r="F7" s="29" t="s">
        <v>1033</v>
      </c>
      <c r="G7" s="28">
        <v>0.0</v>
      </c>
      <c r="H7" s="28">
        <v>0.366526842117309</v>
      </c>
      <c r="I7" s="49" t="s">
        <v>1034</v>
      </c>
      <c r="J7" s="50">
        <v>0.0</v>
      </c>
      <c r="K7" s="50">
        <v>1.64711856842041</v>
      </c>
      <c r="L7" s="35">
        <f t="shared" si="1"/>
        <v>16.84347811</v>
      </c>
      <c r="M7" s="3">
        <v>16.84347810730984</v>
      </c>
      <c r="N7" s="3"/>
      <c r="O7" s="3"/>
      <c r="P7" s="3"/>
      <c r="Q7" s="3"/>
      <c r="R7" s="3"/>
      <c r="S7" s="3"/>
      <c r="T7" s="6"/>
    </row>
    <row r="8" ht="30.0" customHeight="1">
      <c r="A8" s="6">
        <v>4.0</v>
      </c>
      <c r="B8" s="24" t="s">
        <v>1035</v>
      </c>
      <c r="C8" s="66" t="s">
        <v>1036</v>
      </c>
      <c r="D8" s="67">
        <v>0.0</v>
      </c>
      <c r="E8" s="67">
        <v>27.8124973773956</v>
      </c>
      <c r="F8" s="29" t="s">
        <v>1215</v>
      </c>
      <c r="G8" s="28">
        <v>0.0</v>
      </c>
      <c r="H8" s="28">
        <v>0.313075542449951</v>
      </c>
      <c r="I8" s="49" t="s">
        <v>1038</v>
      </c>
      <c r="J8" s="50">
        <v>0.0</v>
      </c>
      <c r="K8" s="50">
        <v>0.847152233123779</v>
      </c>
      <c r="L8" s="35">
        <f t="shared" si="1"/>
        <v>32.83057789</v>
      </c>
      <c r="M8" s="3">
        <v>32.8305778937041</v>
      </c>
      <c r="N8" s="3"/>
      <c r="O8" s="3"/>
      <c r="P8" s="3"/>
      <c r="Q8" s="3"/>
      <c r="R8" s="3"/>
      <c r="S8" s="3"/>
      <c r="T8" s="6"/>
    </row>
    <row r="9" ht="30.0" customHeight="1">
      <c r="A9" s="6">
        <v>5.0</v>
      </c>
      <c r="B9" s="24" t="s">
        <v>1039</v>
      </c>
      <c r="C9" s="66"/>
      <c r="D9" s="67" t="s">
        <v>1040</v>
      </c>
      <c r="E9" s="67" t="s">
        <v>1040</v>
      </c>
      <c r="F9" s="29" t="s">
        <v>1216</v>
      </c>
      <c r="G9" s="28">
        <v>1.0E-4</v>
      </c>
      <c r="H9" s="28">
        <v>0.345016956329345</v>
      </c>
      <c r="I9" s="49" t="s">
        <v>1217</v>
      </c>
      <c r="J9" s="50">
        <v>9.9778175E-5</v>
      </c>
      <c r="K9" s="50">
        <v>0.0457706451416015</v>
      </c>
      <c r="L9" s="35" t="str">
        <f t="shared" si="1"/>
        <v>#VALUE!</v>
      </c>
      <c r="M9" s="3">
        <v>7.95671833123497</v>
      </c>
      <c r="N9" s="3"/>
      <c r="O9" s="3"/>
      <c r="P9" s="3"/>
      <c r="Q9" s="3"/>
      <c r="R9" s="3"/>
      <c r="S9" s="3"/>
      <c r="T9" s="6"/>
    </row>
    <row r="10" ht="30.0" customHeight="1">
      <c r="A10" s="6">
        <v>6.0</v>
      </c>
      <c r="B10" s="24" t="s">
        <v>1043</v>
      </c>
      <c r="C10" s="66"/>
      <c r="D10" s="67" t="s">
        <v>1040</v>
      </c>
      <c r="E10" s="67" t="s">
        <v>1040</v>
      </c>
      <c r="F10" s="29" t="s">
        <v>1218</v>
      </c>
      <c r="G10" s="28">
        <v>2.0E-4</v>
      </c>
      <c r="H10" s="28">
        <v>0.325003147125244</v>
      </c>
      <c r="I10" s="49" t="s">
        <v>1219</v>
      </c>
      <c r="J10" s="50">
        <v>2.014637E-4</v>
      </c>
      <c r="K10" s="50">
        <v>0.0438394546508789</v>
      </c>
      <c r="L10" s="35" t="str">
        <f t="shared" si="1"/>
        <v>#VALUE!</v>
      </c>
      <c r="M10" s="3">
        <v>15.824889757972178</v>
      </c>
      <c r="N10" s="3"/>
      <c r="O10" s="3"/>
      <c r="P10" s="3"/>
      <c r="Q10" s="3"/>
      <c r="R10" s="3"/>
      <c r="S10" s="3"/>
      <c r="T10" s="6"/>
    </row>
    <row r="11" ht="30.0" customHeight="1">
      <c r="A11" s="6">
        <v>7.0</v>
      </c>
      <c r="B11" s="24" t="s">
        <v>1046</v>
      </c>
      <c r="C11" s="66"/>
      <c r="D11" s="67" t="s">
        <v>1040</v>
      </c>
      <c r="E11" s="67" t="s">
        <v>1040</v>
      </c>
      <c r="F11" s="29" t="s">
        <v>1220</v>
      </c>
      <c r="G11" s="28">
        <v>8.0E-4</v>
      </c>
      <c r="H11" s="28">
        <v>0.545060396194458</v>
      </c>
      <c r="I11" s="49" t="s">
        <v>1221</v>
      </c>
      <c r="J11" s="50">
        <v>7.6055527E-4</v>
      </c>
      <c r="K11" s="50">
        <v>0.100662231445312</v>
      </c>
      <c r="L11" s="35" t="str">
        <f t="shared" si="1"/>
        <v>#VALUE!</v>
      </c>
      <c r="M11" s="3">
        <v>16.132101921952295</v>
      </c>
      <c r="N11" s="3"/>
      <c r="O11" s="3"/>
      <c r="P11" s="3"/>
      <c r="Q11" s="3"/>
      <c r="R11" s="3"/>
      <c r="S11" s="3"/>
      <c r="T11" s="6"/>
    </row>
    <row r="12" ht="30.0" customHeight="1">
      <c r="A12" s="6">
        <v>8.0</v>
      </c>
      <c r="B12" s="24" t="s">
        <v>1049</v>
      </c>
      <c r="C12" s="66" t="s">
        <v>1050</v>
      </c>
      <c r="D12" s="67">
        <v>0.0</v>
      </c>
      <c r="E12" s="67">
        <v>27.8251674175262</v>
      </c>
      <c r="F12" s="29" t="s">
        <v>1051</v>
      </c>
      <c r="G12" s="28">
        <v>0.0</v>
      </c>
      <c r="H12" s="28">
        <v>0.737929105758667</v>
      </c>
      <c r="I12" s="49" t="s">
        <v>1052</v>
      </c>
      <c r="J12" s="50">
        <v>0.0</v>
      </c>
      <c r="K12" s="50">
        <v>3.49706578254699</v>
      </c>
      <c r="L12" s="35">
        <f t="shared" si="1"/>
        <v>7.956718331</v>
      </c>
      <c r="M12" s="3">
        <v>14.210778926614683</v>
      </c>
      <c r="N12" s="3"/>
      <c r="O12" s="3"/>
      <c r="P12" s="3"/>
      <c r="Q12" s="3"/>
      <c r="R12" s="3"/>
      <c r="S12" s="3"/>
      <c r="T12" s="6"/>
    </row>
    <row r="13" ht="30.0" customHeight="1">
      <c r="A13" s="6">
        <v>9.0</v>
      </c>
      <c r="B13" s="24" t="s">
        <v>1053</v>
      </c>
      <c r="C13" s="66" t="s">
        <v>1054</v>
      </c>
      <c r="D13" s="67">
        <v>0.0</v>
      </c>
      <c r="E13" s="67">
        <v>25.7930855751037</v>
      </c>
      <c r="F13" s="29" t="s">
        <v>1222</v>
      </c>
      <c r="G13" s="28">
        <v>0.0</v>
      </c>
      <c r="H13" s="28">
        <v>0.486967802047729</v>
      </c>
      <c r="I13" s="49" t="s">
        <v>1056</v>
      </c>
      <c r="J13" s="50">
        <v>0.0</v>
      </c>
      <c r="K13" s="50">
        <v>1.62990617752075</v>
      </c>
      <c r="L13" s="35">
        <f t="shared" si="1"/>
        <v>15.82488976</v>
      </c>
      <c r="M13" s="3">
        <v>20.041970496411555</v>
      </c>
      <c r="N13" s="3"/>
      <c r="O13" s="3"/>
      <c r="P13" s="3"/>
      <c r="Q13" s="3"/>
      <c r="R13" s="3"/>
      <c r="S13" s="3"/>
      <c r="T13" s="6"/>
    </row>
    <row r="14" ht="30.0" customHeight="1">
      <c r="A14" s="6">
        <v>10.0</v>
      </c>
      <c r="B14" s="24" t="s">
        <v>1057</v>
      </c>
      <c r="C14" s="66" t="s">
        <v>1058</v>
      </c>
      <c r="D14" s="67">
        <v>0.0</v>
      </c>
      <c r="E14" s="67">
        <v>25.5898246765136</v>
      </c>
      <c r="F14" s="29" t="s">
        <v>1223</v>
      </c>
      <c r="G14" s="28">
        <v>0.0</v>
      </c>
      <c r="H14" s="28">
        <v>0.349999189376831</v>
      </c>
      <c r="I14" s="49" t="s">
        <v>1060</v>
      </c>
      <c r="J14" s="50">
        <v>0.0</v>
      </c>
      <c r="K14" s="50">
        <v>1.58626723289489</v>
      </c>
      <c r="L14" s="35">
        <f t="shared" si="1"/>
        <v>16.13210192</v>
      </c>
      <c r="M14" s="3">
        <v>28.508093043295236</v>
      </c>
      <c r="N14" s="3"/>
      <c r="O14" s="3"/>
      <c r="P14" s="3"/>
      <c r="Q14" s="3"/>
      <c r="R14" s="3"/>
      <c r="S14" s="3"/>
      <c r="T14" s="6"/>
    </row>
    <row r="15" ht="30.0" customHeight="1">
      <c r="A15" s="6">
        <v>11.0</v>
      </c>
      <c r="B15" s="24" t="s">
        <v>1061</v>
      </c>
      <c r="C15" s="66" t="s">
        <v>1224</v>
      </c>
      <c r="D15" s="67">
        <v>0.0</v>
      </c>
      <c r="E15" s="67">
        <v>10.4482481479644</v>
      </c>
      <c r="F15" s="29" t="s">
        <v>1225</v>
      </c>
      <c r="G15" s="28">
        <v>0.0</v>
      </c>
      <c r="H15" s="28">
        <v>0.297001123428344</v>
      </c>
      <c r="I15" s="49" t="s">
        <v>1064</v>
      </c>
      <c r="J15" s="50">
        <v>0.0</v>
      </c>
      <c r="K15" s="50">
        <v>0.735234022140502</v>
      </c>
      <c r="L15" s="35">
        <f t="shared" si="1"/>
        <v>14.21077893</v>
      </c>
      <c r="M15" s="3">
        <v>30.53355019518481</v>
      </c>
      <c r="N15" s="3"/>
      <c r="O15" s="3"/>
      <c r="P15" s="3"/>
      <c r="Q15" s="3"/>
      <c r="R15" s="3"/>
      <c r="S15" s="3"/>
      <c r="T15" s="6"/>
    </row>
    <row r="16" ht="30.0" customHeight="1">
      <c r="A16" s="6">
        <v>12.0</v>
      </c>
      <c r="B16" s="24" t="s">
        <v>1065</v>
      </c>
      <c r="C16" s="66"/>
      <c r="D16" s="67" t="s">
        <v>1040</v>
      </c>
      <c r="E16" s="67" t="s">
        <v>1040</v>
      </c>
      <c r="F16" s="29" t="s">
        <v>1226</v>
      </c>
      <c r="G16" s="28">
        <v>1.0E-4</v>
      </c>
      <c r="H16" s="28">
        <v>0.321453809738159</v>
      </c>
      <c r="I16" s="49" t="s">
        <v>1227</v>
      </c>
      <c r="J16" s="50">
        <v>9.9778175E-5</v>
      </c>
      <c r="K16" s="50">
        <v>0.0388753414154052</v>
      </c>
      <c r="L16" s="35" t="str">
        <f t="shared" si="1"/>
        <v>#VALUE!</v>
      </c>
      <c r="M16" s="3">
        <v>138.53709531378246</v>
      </c>
      <c r="N16" s="3"/>
      <c r="O16" s="3"/>
      <c r="P16" s="3"/>
      <c r="Q16" s="3"/>
      <c r="R16" s="3"/>
      <c r="S16" s="3"/>
      <c r="T16" s="6"/>
    </row>
    <row r="17" ht="30.0" customHeight="1">
      <c r="A17" s="6">
        <v>13.0</v>
      </c>
      <c r="B17" s="24" t="s">
        <v>1068</v>
      </c>
      <c r="C17" s="66"/>
      <c r="D17" s="67" t="s">
        <v>1040</v>
      </c>
      <c r="E17" s="67" t="s">
        <v>1040</v>
      </c>
      <c r="F17" s="29" t="s">
        <v>1228</v>
      </c>
      <c r="G17" s="28">
        <v>2.0E-4</v>
      </c>
      <c r="H17" s="28">
        <v>0.306562185287475</v>
      </c>
      <c r="I17" s="49" t="s">
        <v>1229</v>
      </c>
      <c r="J17" s="50">
        <v>2.014637E-4</v>
      </c>
      <c r="K17" s="50">
        <v>0.030327558517456</v>
      </c>
      <c r="L17" s="35" t="str">
        <f t="shared" si="1"/>
        <v>#VALUE!</v>
      </c>
      <c r="M17" s="3">
        <v>2.3831289295748372</v>
      </c>
      <c r="N17" s="3"/>
      <c r="O17" s="3"/>
      <c r="P17" s="3"/>
      <c r="Q17" s="3"/>
      <c r="R17" s="3"/>
      <c r="S17" s="3"/>
      <c r="T17" s="6"/>
    </row>
    <row r="18" ht="30.0" customHeight="1">
      <c r="A18" s="6">
        <v>14.0</v>
      </c>
      <c r="B18" s="24" t="s">
        <v>1071</v>
      </c>
      <c r="C18" s="66"/>
      <c r="D18" s="67" t="s">
        <v>1040</v>
      </c>
      <c r="E18" s="67" t="s">
        <v>1040</v>
      </c>
      <c r="F18" s="29" t="s">
        <v>1230</v>
      </c>
      <c r="G18" s="28">
        <v>8.0E-4</v>
      </c>
      <c r="H18" s="28">
        <v>0.477991819381713</v>
      </c>
      <c r="I18" s="49" t="s">
        <v>1231</v>
      </c>
      <c r="J18" s="50">
        <v>7.6055527E-4</v>
      </c>
      <c r="K18" s="50">
        <v>0.125389814376831</v>
      </c>
      <c r="L18" s="35" t="str">
        <f t="shared" si="1"/>
        <v>#VALUE!</v>
      </c>
      <c r="M18" s="3">
        <v>4.628367912678429</v>
      </c>
      <c r="N18" s="3"/>
      <c r="O18" s="3"/>
      <c r="P18" s="3"/>
      <c r="Q18" s="3"/>
      <c r="R18" s="3"/>
      <c r="S18" s="3"/>
      <c r="T18" s="6"/>
    </row>
    <row r="19" ht="30.0" customHeight="1">
      <c r="A19" s="6">
        <v>15.0</v>
      </c>
      <c r="B19" s="24" t="s">
        <v>1074</v>
      </c>
      <c r="C19" s="66" t="s">
        <v>1075</v>
      </c>
      <c r="D19" s="67">
        <v>0.0</v>
      </c>
      <c r="E19" s="67">
        <v>68.7597861289978</v>
      </c>
      <c r="F19" s="29" t="s">
        <v>1076</v>
      </c>
      <c r="G19" s="28">
        <v>0.0</v>
      </c>
      <c r="H19" s="28">
        <v>0.8210289478302</v>
      </c>
      <c r="I19" s="49" t="s">
        <v>1077</v>
      </c>
      <c r="J19" s="50">
        <v>0.0</v>
      </c>
      <c r="K19" s="50">
        <v>3.43078970909118</v>
      </c>
      <c r="L19" s="35">
        <f t="shared" si="1"/>
        <v>20.0419705</v>
      </c>
      <c r="M19" s="3">
        <v>5.214610326295934</v>
      </c>
      <c r="N19" s="3"/>
      <c r="O19" s="3"/>
      <c r="P19" s="3"/>
      <c r="Q19" s="3"/>
      <c r="R19" s="3"/>
      <c r="S19" s="3"/>
      <c r="T19" s="6"/>
    </row>
    <row r="20" ht="30.0" customHeight="1">
      <c r="A20" s="6">
        <v>16.0</v>
      </c>
      <c r="B20" s="24" t="s">
        <v>1078</v>
      </c>
      <c r="C20" s="66" t="s">
        <v>1079</v>
      </c>
      <c r="D20" s="67">
        <v>0.0</v>
      </c>
      <c r="E20" s="67">
        <v>45.2442641258239</v>
      </c>
      <c r="F20" s="29" t="s">
        <v>1232</v>
      </c>
      <c r="G20" s="28">
        <v>0.0</v>
      </c>
      <c r="H20" s="28">
        <v>0.590410470962524</v>
      </c>
      <c r="I20" s="49" t="s">
        <v>1081</v>
      </c>
      <c r="J20" s="50">
        <v>0.0</v>
      </c>
      <c r="K20" s="50">
        <v>1.58706736564636</v>
      </c>
      <c r="L20" s="35">
        <f t="shared" si="1"/>
        <v>28.50809304</v>
      </c>
      <c r="M20" s="3">
        <v>9.343147905686635</v>
      </c>
      <c r="N20" s="3"/>
      <c r="O20" s="3"/>
      <c r="P20" s="3"/>
      <c r="Q20" s="3"/>
      <c r="R20" s="3"/>
      <c r="S20" s="3"/>
      <c r="T20" s="6"/>
    </row>
    <row r="21" ht="30.0" customHeight="1">
      <c r="A21" s="6">
        <v>17.0</v>
      </c>
      <c r="B21" s="24" t="s">
        <v>1082</v>
      </c>
      <c r="C21" s="66" t="s">
        <v>1083</v>
      </c>
      <c r="D21" s="68">
        <v>0.0</v>
      </c>
      <c r="E21" s="67">
        <v>48.5380704402923</v>
      </c>
      <c r="F21" s="29" t="s">
        <v>1233</v>
      </c>
      <c r="G21" s="28">
        <v>0.0</v>
      </c>
      <c r="H21" s="28">
        <v>0.341322422027587</v>
      </c>
      <c r="I21" s="49" t="s">
        <v>1085</v>
      </c>
      <c r="J21" s="50">
        <v>0.0</v>
      </c>
      <c r="K21" s="50">
        <v>1.58966350555419</v>
      </c>
      <c r="L21" s="35">
        <f t="shared" si="1"/>
        <v>30.5335502</v>
      </c>
      <c r="M21" s="3">
        <v>0.42956365055170387</v>
      </c>
      <c r="N21" s="3"/>
      <c r="O21" s="3"/>
      <c r="P21" s="3"/>
      <c r="Q21" s="3"/>
      <c r="R21" s="3"/>
      <c r="S21" s="3"/>
      <c r="T21" s="6"/>
    </row>
    <row r="22" ht="30.0" customHeight="1">
      <c r="A22" s="6">
        <v>18.0</v>
      </c>
      <c r="B22" s="24" t="s">
        <v>1086</v>
      </c>
      <c r="C22" s="66" t="s">
        <v>1087</v>
      </c>
      <c r="D22" s="67">
        <v>0.0</v>
      </c>
      <c r="E22" s="67">
        <v>101.410787820816</v>
      </c>
      <c r="F22" s="29" t="s">
        <v>1234</v>
      </c>
      <c r="G22" s="28">
        <v>0.0</v>
      </c>
      <c r="H22" s="28">
        <v>0.285209655761718</v>
      </c>
      <c r="I22" s="49" t="s">
        <v>1089</v>
      </c>
      <c r="J22" s="50">
        <v>0.0</v>
      </c>
      <c r="K22" s="50">
        <v>0.732011795043945</v>
      </c>
      <c r="L22" s="35">
        <f t="shared" si="1"/>
        <v>138.5370953</v>
      </c>
      <c r="M22" s="3">
        <v>0.7233345584277975</v>
      </c>
      <c r="N22" s="3"/>
      <c r="O22" s="3"/>
      <c r="P22" s="3"/>
      <c r="Q22" s="3"/>
      <c r="R22" s="3"/>
      <c r="S22" s="3"/>
      <c r="T22" s="6"/>
    </row>
    <row r="23" ht="30.0" customHeight="1">
      <c r="A23" s="6">
        <v>19.0</v>
      </c>
      <c r="B23" s="24" t="s">
        <v>1090</v>
      </c>
      <c r="C23" s="66"/>
      <c r="D23" s="67" t="s">
        <v>1040</v>
      </c>
      <c r="E23" s="67" t="s">
        <v>1040</v>
      </c>
      <c r="F23" s="29" t="s">
        <v>1235</v>
      </c>
      <c r="G23" s="28">
        <v>1.0E-4</v>
      </c>
      <c r="H23" s="28">
        <v>0.319999694824218</v>
      </c>
      <c r="I23" s="49" t="s">
        <v>1236</v>
      </c>
      <c r="J23" s="50">
        <v>9.9778175E-5</v>
      </c>
      <c r="K23" s="50">
        <v>0.043903112411499</v>
      </c>
      <c r="L23" s="35" t="str">
        <f t="shared" si="1"/>
        <v>#VALUE!</v>
      </c>
      <c r="M23" s="3">
        <v>0.48599286790678115</v>
      </c>
      <c r="N23" s="3"/>
      <c r="O23" s="3"/>
      <c r="P23" s="3"/>
      <c r="Q23" s="3"/>
      <c r="R23" s="3"/>
      <c r="S23" s="3"/>
      <c r="T23" s="6"/>
    </row>
    <row r="24" ht="30.0" customHeight="1">
      <c r="A24" s="6">
        <v>20.0</v>
      </c>
      <c r="B24" s="24" t="s">
        <v>1093</v>
      </c>
      <c r="C24" s="66"/>
      <c r="D24" s="67" t="s">
        <v>1040</v>
      </c>
      <c r="E24" s="67" t="s">
        <v>1040</v>
      </c>
      <c r="F24" s="29" t="s">
        <v>1237</v>
      </c>
      <c r="G24" s="28">
        <v>2.0E-4</v>
      </c>
      <c r="H24" s="28">
        <v>0.283084869384765</v>
      </c>
      <c r="I24" s="49" t="s">
        <v>1238</v>
      </c>
      <c r="J24" s="50">
        <v>2.014637E-4</v>
      </c>
      <c r="K24" s="50">
        <v>0.0358805656433105</v>
      </c>
      <c r="L24" s="35" t="str">
        <f t="shared" si="1"/>
        <v>#VALUE!</v>
      </c>
      <c r="M24" s="3">
        <v>0.9779615813869305</v>
      </c>
      <c r="N24" s="3"/>
      <c r="O24" s="3"/>
      <c r="P24" s="3"/>
      <c r="Q24" s="3"/>
      <c r="R24" s="3"/>
      <c r="S24" s="3"/>
      <c r="T24" s="6"/>
    </row>
    <row r="25" ht="30.0" customHeight="1">
      <c r="A25" s="6">
        <v>21.0</v>
      </c>
      <c r="B25" s="24" t="s">
        <v>1096</v>
      </c>
      <c r="C25" s="66"/>
      <c r="D25" s="67" t="s">
        <v>1040</v>
      </c>
      <c r="E25" s="67" t="s">
        <v>1040</v>
      </c>
      <c r="F25" s="29" t="s">
        <v>1239</v>
      </c>
      <c r="G25" s="28">
        <v>8.0E-4</v>
      </c>
      <c r="H25" s="28">
        <v>0.527594089508056</v>
      </c>
      <c r="I25" s="49" t="s">
        <v>1240</v>
      </c>
      <c r="J25" s="50">
        <v>7.6055527E-4</v>
      </c>
      <c r="K25" s="50">
        <v>0.0996677875518798</v>
      </c>
      <c r="L25" s="35" t="str">
        <f t="shared" si="1"/>
        <v>#VALUE!</v>
      </c>
      <c r="M25" s="3">
        <v>396.2704883933776</v>
      </c>
      <c r="N25" s="3"/>
      <c r="O25" s="3"/>
      <c r="P25" s="3"/>
      <c r="Q25" s="3"/>
      <c r="R25" s="3"/>
      <c r="S25" s="3"/>
      <c r="T25" s="6"/>
    </row>
    <row r="26" ht="30.0" customHeight="1">
      <c r="A26" s="6">
        <v>22.0</v>
      </c>
      <c r="B26" s="24" t="s">
        <v>1099</v>
      </c>
      <c r="C26" s="66" t="s">
        <v>1100</v>
      </c>
      <c r="D26" s="67">
        <v>0.0</v>
      </c>
      <c r="E26" s="67">
        <v>7.90733504295349</v>
      </c>
      <c r="F26" s="29" t="s">
        <v>1101</v>
      </c>
      <c r="G26" s="28">
        <v>0.0</v>
      </c>
      <c r="H26" s="28">
        <v>0.791257143020629</v>
      </c>
      <c r="I26" s="49" t="s">
        <v>1102</v>
      </c>
      <c r="J26" s="50">
        <v>0.0</v>
      </c>
      <c r="K26" s="50">
        <v>3.31804752349853</v>
      </c>
      <c r="L26" s="35">
        <f t="shared" si="1"/>
        <v>2.38312893</v>
      </c>
      <c r="M26" s="3">
        <v>299.7462675414348</v>
      </c>
      <c r="N26" s="3"/>
      <c r="O26" s="3"/>
      <c r="P26" s="3"/>
      <c r="Q26" s="3"/>
      <c r="R26" s="3"/>
      <c r="S26" s="3"/>
      <c r="T26" s="6"/>
    </row>
    <row r="27" ht="30.0" customHeight="1">
      <c r="A27" s="6">
        <v>23.0</v>
      </c>
      <c r="B27" s="24" t="s">
        <v>1103</v>
      </c>
      <c r="C27" s="66" t="s">
        <v>1104</v>
      </c>
      <c r="D27" s="67">
        <v>0.0</v>
      </c>
      <c r="E27" s="67">
        <v>6.97889637947082</v>
      </c>
      <c r="F27" s="29" t="s">
        <v>1241</v>
      </c>
      <c r="G27" s="28">
        <v>0.0</v>
      </c>
      <c r="H27" s="28">
        <v>0.463328123092651</v>
      </c>
      <c r="I27" s="49" t="s">
        <v>1106</v>
      </c>
      <c r="J27" s="50">
        <v>0.0</v>
      </c>
      <c r="K27" s="50">
        <v>1.50785255432128</v>
      </c>
      <c r="L27" s="35">
        <f t="shared" si="1"/>
        <v>4.628367913</v>
      </c>
      <c r="M27" s="3">
        <v>486.4405235009624</v>
      </c>
      <c r="N27" s="3"/>
      <c r="O27" s="3"/>
      <c r="P27" s="3"/>
      <c r="Q27" s="3"/>
      <c r="R27" s="3"/>
      <c r="S27" s="3"/>
      <c r="T27" s="6"/>
    </row>
    <row r="28" ht="30.0" customHeight="1">
      <c r="A28" s="6">
        <v>24.0</v>
      </c>
      <c r="B28" s="24" t="s">
        <v>1107</v>
      </c>
      <c r="C28" s="66" t="s">
        <v>1108</v>
      </c>
      <c r="D28" s="67">
        <v>0.0</v>
      </c>
      <c r="E28" s="67">
        <v>7.87363386154174</v>
      </c>
      <c r="F28" s="29" t="s">
        <v>1109</v>
      </c>
      <c r="G28" s="28">
        <v>0.0</v>
      </c>
      <c r="H28" s="28">
        <v>0.293998956680297</v>
      </c>
      <c r="I28" s="49" t="s">
        <v>1110</v>
      </c>
      <c r="J28" s="50">
        <v>0.0</v>
      </c>
      <c r="K28" s="50">
        <v>1.50991797447204</v>
      </c>
      <c r="L28" s="35">
        <f t="shared" si="1"/>
        <v>5.214610326</v>
      </c>
      <c r="M28" s="3">
        <v>0.259672229098446</v>
      </c>
      <c r="N28" s="3"/>
      <c r="O28" s="3"/>
      <c r="P28" s="3"/>
      <c r="Q28" s="3"/>
      <c r="R28" s="3"/>
      <c r="S28" s="3"/>
      <c r="T28" s="6"/>
    </row>
    <row r="29" ht="30.0" customHeight="1">
      <c r="A29" s="6">
        <v>25.0</v>
      </c>
      <c r="B29" s="24" t="s">
        <v>1111</v>
      </c>
      <c r="C29" s="66" t="s">
        <v>1112</v>
      </c>
      <c r="D29" s="67">
        <v>0.0</v>
      </c>
      <c r="E29" s="67">
        <v>7.03513216972351</v>
      </c>
      <c r="F29" s="29" t="s">
        <v>1242</v>
      </c>
      <c r="G29" s="28">
        <v>0.0</v>
      </c>
      <c r="H29" s="28">
        <v>0.245999813079833</v>
      </c>
      <c r="I29" s="49" t="s">
        <v>1114</v>
      </c>
      <c r="J29" s="50">
        <v>0.0</v>
      </c>
      <c r="K29" s="50">
        <v>0.752972364425659</v>
      </c>
      <c r="L29" s="35">
        <f t="shared" si="1"/>
        <v>9.343147906</v>
      </c>
      <c r="M29" s="3">
        <v>0.45483134908664347</v>
      </c>
      <c r="N29" s="3"/>
      <c r="O29" s="3"/>
      <c r="P29" s="3"/>
      <c r="Q29" s="3"/>
      <c r="R29" s="3"/>
      <c r="S29" s="3"/>
      <c r="T29" s="6"/>
    </row>
    <row r="30" ht="30.0" customHeight="1">
      <c r="A30" s="6">
        <v>26.0</v>
      </c>
      <c r="B30" s="24" t="s">
        <v>1115</v>
      </c>
      <c r="C30" s="66"/>
      <c r="D30" s="67" t="s">
        <v>1040</v>
      </c>
      <c r="E30" s="67" t="s">
        <v>1040</v>
      </c>
      <c r="F30" s="29" t="s">
        <v>1243</v>
      </c>
      <c r="G30" s="28">
        <v>1.0E-4</v>
      </c>
      <c r="H30" s="28">
        <v>0.233000755310058</v>
      </c>
      <c r="I30" s="49" t="s">
        <v>1244</v>
      </c>
      <c r="J30" s="50">
        <v>9.9778175E-5</v>
      </c>
      <c r="K30" s="50">
        <v>0.0428950786590576</v>
      </c>
      <c r="L30" s="35" t="str">
        <f t="shared" si="1"/>
        <v>#VALUE!</v>
      </c>
      <c r="M30" s="3">
        <v>0.46803257755333405</v>
      </c>
      <c r="N30" s="3"/>
      <c r="O30" s="3"/>
      <c r="P30" s="3"/>
      <c r="Q30" s="3"/>
      <c r="R30" s="3"/>
      <c r="S30" s="3"/>
      <c r="T30" s="6"/>
    </row>
    <row r="31" ht="30.0" customHeight="1">
      <c r="A31" s="6">
        <v>27.0</v>
      </c>
      <c r="B31" s="24" t="s">
        <v>1118</v>
      </c>
      <c r="C31" s="66"/>
      <c r="D31" s="67" t="s">
        <v>1040</v>
      </c>
      <c r="E31" s="67" t="s">
        <v>1040</v>
      </c>
      <c r="F31" s="29" t="s">
        <v>1245</v>
      </c>
      <c r="G31" s="28">
        <v>2.0E-4</v>
      </c>
      <c r="H31" s="28">
        <v>0.231460332870483</v>
      </c>
      <c r="I31" s="49" t="s">
        <v>1246</v>
      </c>
      <c r="J31" s="50">
        <v>2.014637E-4</v>
      </c>
      <c r="K31" s="50">
        <v>0.0249137878417968</v>
      </c>
      <c r="L31" s="35" t="str">
        <f t="shared" si="1"/>
        <v>#VALUE!</v>
      </c>
      <c r="M31" s="3">
        <v>0.9625711357623872</v>
      </c>
      <c r="N31" s="3"/>
      <c r="O31" s="3"/>
      <c r="P31" s="3"/>
      <c r="Q31" s="3"/>
      <c r="R31" s="3"/>
      <c r="S31" s="3"/>
      <c r="T31" s="6"/>
    </row>
    <row r="32" ht="30.0" customHeight="1">
      <c r="A32" s="6">
        <v>28.0</v>
      </c>
      <c r="B32" s="24" t="s">
        <v>1121</v>
      </c>
      <c r="C32" s="66"/>
      <c r="D32" s="67" t="s">
        <v>1040</v>
      </c>
      <c r="E32" s="67" t="s">
        <v>1040</v>
      </c>
      <c r="F32" s="29" t="s">
        <v>1247</v>
      </c>
      <c r="G32" s="28">
        <v>8.0E-4</v>
      </c>
      <c r="H32" s="28">
        <v>0.389994859695434</v>
      </c>
      <c r="I32" s="49" t="s">
        <v>1248</v>
      </c>
      <c r="J32" s="50">
        <v>7.6055527E-4</v>
      </c>
      <c r="K32" s="50">
        <v>0.0967059135437011</v>
      </c>
      <c r="L32" s="35" t="str">
        <f t="shared" si="1"/>
        <v>#VALUE!</v>
      </c>
      <c r="M32" s="3">
        <v>228.69695846140982</v>
      </c>
      <c r="N32" s="3"/>
      <c r="O32" s="3"/>
      <c r="P32" s="3"/>
      <c r="Q32" s="3"/>
      <c r="R32" s="3"/>
      <c r="S32" s="3"/>
      <c r="T32" s="6"/>
    </row>
    <row r="33" ht="30.0" customHeight="1">
      <c r="A33" s="6">
        <v>29.0</v>
      </c>
      <c r="B33" s="24" t="s">
        <v>1124</v>
      </c>
      <c r="C33" s="66" t="s">
        <v>1125</v>
      </c>
      <c r="D33" s="67">
        <v>0.0</v>
      </c>
      <c r="E33" s="67">
        <v>1.16099023818969</v>
      </c>
      <c r="F33" s="29" t="s">
        <v>1249</v>
      </c>
      <c r="G33" s="28">
        <v>0.0</v>
      </c>
      <c r="H33" s="28">
        <v>0.397993803024292</v>
      </c>
      <c r="I33" s="49" t="s">
        <v>1127</v>
      </c>
      <c r="J33" s="50">
        <v>0.0</v>
      </c>
      <c r="K33" s="50">
        <v>2.7027199268341</v>
      </c>
      <c r="L33" s="35">
        <f t="shared" si="1"/>
        <v>0.4295636506</v>
      </c>
      <c r="M33" s="3">
        <v>196.30600389720306</v>
      </c>
      <c r="N33" s="3"/>
      <c r="O33" s="3"/>
      <c r="P33" s="3"/>
      <c r="Q33" s="3"/>
      <c r="R33" s="3"/>
      <c r="S33" s="3"/>
      <c r="T33" s="6"/>
    </row>
    <row r="34" ht="30.0" customHeight="1">
      <c r="A34" s="6">
        <v>30.0</v>
      </c>
      <c r="B34" s="24" t="s">
        <v>1128</v>
      </c>
      <c r="C34" s="66" t="s">
        <v>1129</v>
      </c>
      <c r="D34" s="67">
        <v>0.0</v>
      </c>
      <c r="E34" s="67">
        <v>0.889196395874023</v>
      </c>
      <c r="F34" s="29" t="s">
        <v>1250</v>
      </c>
      <c r="G34" s="28">
        <v>0.0</v>
      </c>
      <c r="H34" s="28">
        <v>0.224071025848388</v>
      </c>
      <c r="I34" s="49" t="s">
        <v>1131</v>
      </c>
      <c r="J34" s="50">
        <v>0.0</v>
      </c>
      <c r="K34" s="50">
        <v>1.22930169105529</v>
      </c>
      <c r="L34" s="35">
        <f t="shared" si="1"/>
        <v>0.7233345584</v>
      </c>
      <c r="M34" s="3">
        <v>238.2902585830057</v>
      </c>
      <c r="N34" s="3"/>
      <c r="O34" s="3"/>
      <c r="P34" s="3"/>
      <c r="Q34" s="3"/>
      <c r="R34" s="3"/>
      <c r="S34" s="3"/>
      <c r="T34" s="6"/>
    </row>
    <row r="35" ht="30.0" customHeight="1">
      <c r="A35" s="6">
        <v>31.0</v>
      </c>
      <c r="B35" s="24" t="s">
        <v>1132</v>
      </c>
      <c r="C35" s="66" t="s">
        <v>1133</v>
      </c>
      <c r="D35" s="67">
        <v>0.0</v>
      </c>
      <c r="E35" s="67">
        <v>0.609201669692993</v>
      </c>
      <c r="F35" s="29" t="s">
        <v>1251</v>
      </c>
      <c r="G35" s="28">
        <v>0.0</v>
      </c>
      <c r="H35" s="28">
        <v>0.178050756454467</v>
      </c>
      <c r="I35" s="49" t="s">
        <v>1135</v>
      </c>
      <c r="J35" s="50">
        <v>0.0</v>
      </c>
      <c r="K35" s="50">
        <v>1.25351977348327</v>
      </c>
      <c r="L35" s="35">
        <f t="shared" si="1"/>
        <v>0.4859928679</v>
      </c>
      <c r="M35" s="3">
        <v>0.3067228067607281</v>
      </c>
      <c r="N35" s="3"/>
      <c r="O35" s="3"/>
      <c r="P35" s="3"/>
      <c r="Q35" s="3"/>
      <c r="R35" s="3"/>
      <c r="S35" s="3"/>
      <c r="T35" s="6"/>
    </row>
    <row r="36" ht="30.0" customHeight="1">
      <c r="A36" s="6">
        <v>32.0</v>
      </c>
      <c r="B36" s="24" t="s">
        <v>1136</v>
      </c>
      <c r="C36" s="66" t="s">
        <v>1137</v>
      </c>
      <c r="D36" s="67">
        <v>0.0</v>
      </c>
      <c r="E36" s="67">
        <v>0.55655550956726</v>
      </c>
      <c r="F36" s="29" t="s">
        <v>1252</v>
      </c>
      <c r="G36" s="28">
        <v>0.0</v>
      </c>
      <c r="H36" s="28">
        <v>0.130510091781616</v>
      </c>
      <c r="I36" s="49" t="s">
        <v>1139</v>
      </c>
      <c r="J36" s="50">
        <v>0.0</v>
      </c>
      <c r="K36" s="50">
        <v>0.569097518920898</v>
      </c>
      <c r="L36" s="35">
        <f t="shared" si="1"/>
        <v>0.9779615814</v>
      </c>
      <c r="M36" s="3">
        <v>0.7851930516414377</v>
      </c>
      <c r="N36" s="3"/>
      <c r="O36" s="3"/>
      <c r="P36" s="3"/>
      <c r="Q36" s="3"/>
      <c r="R36" s="3"/>
      <c r="S36" s="3"/>
      <c r="T36" s="6"/>
    </row>
    <row r="37" ht="30.0" customHeight="1">
      <c r="A37" s="6">
        <v>33.0</v>
      </c>
      <c r="B37" s="24" t="s">
        <v>1140</v>
      </c>
      <c r="C37" s="66" t="s">
        <v>1253</v>
      </c>
      <c r="D37" s="67">
        <v>3.0E-4</v>
      </c>
      <c r="E37" s="67">
        <v>9.08427238464355</v>
      </c>
      <c r="F37" s="29" t="s">
        <v>1254</v>
      </c>
      <c r="G37" s="28">
        <v>3.0E-4</v>
      </c>
      <c r="H37" s="28">
        <v>0.0850002765655517</v>
      </c>
      <c r="I37" s="49" t="s">
        <v>1255</v>
      </c>
      <c r="J37" s="50">
        <v>3.3640862E-4</v>
      </c>
      <c r="K37" s="50">
        <v>0.0229244232177734</v>
      </c>
      <c r="L37" s="35">
        <f t="shared" si="1"/>
        <v>396.2704884</v>
      </c>
      <c r="M37" s="3">
        <v>0.5659233079715245</v>
      </c>
      <c r="N37" s="3"/>
      <c r="O37" s="3"/>
      <c r="P37" s="3"/>
      <c r="Q37" s="3"/>
      <c r="R37" s="3"/>
      <c r="S37" s="3"/>
      <c r="T37" s="6"/>
    </row>
    <row r="38" ht="30.0" customHeight="1">
      <c r="A38" s="6">
        <v>34.0</v>
      </c>
      <c r="B38" s="24" t="s">
        <v>1144</v>
      </c>
      <c r="C38" s="66" t="s">
        <v>1256</v>
      </c>
      <c r="D38" s="67">
        <v>6.0E-4</v>
      </c>
      <c r="E38" s="67">
        <v>4.78194284439086</v>
      </c>
      <c r="F38" s="29" t="s">
        <v>1257</v>
      </c>
      <c r="G38" s="28">
        <v>6.0E-4</v>
      </c>
      <c r="H38" s="28">
        <v>0.121993780136108</v>
      </c>
      <c r="I38" s="49" t="s">
        <v>1258</v>
      </c>
      <c r="J38" s="50">
        <v>6.1678886E-4</v>
      </c>
      <c r="K38" s="50">
        <v>0.0159533023834228</v>
      </c>
      <c r="L38" s="35">
        <f t="shared" si="1"/>
        <v>299.7462675</v>
      </c>
      <c r="M38" s="3">
        <v>1.2501744125747178</v>
      </c>
      <c r="N38" s="3"/>
      <c r="O38" s="3"/>
      <c r="P38" s="3"/>
      <c r="Q38" s="3"/>
      <c r="R38" s="3"/>
      <c r="S38" s="3"/>
      <c r="T38" s="6"/>
    </row>
    <row r="39" ht="30.0" customHeight="1">
      <c r="A39" s="6">
        <v>35.0</v>
      </c>
      <c r="B39" s="24" t="s">
        <v>1148</v>
      </c>
      <c r="C39" s="66" t="s">
        <v>1259</v>
      </c>
      <c r="D39" s="67">
        <v>0.0015</v>
      </c>
      <c r="E39" s="67">
        <v>34.4361939430236</v>
      </c>
      <c r="F39" s="29" t="s">
        <v>1260</v>
      </c>
      <c r="G39" s="28">
        <v>0.0015</v>
      </c>
      <c r="H39" s="28">
        <v>0.157991886138916</v>
      </c>
      <c r="I39" s="49" t="s">
        <v>1261</v>
      </c>
      <c r="J39" s="50">
        <v>0.0015109181</v>
      </c>
      <c r="K39" s="50">
        <v>0.0707921981811523</v>
      </c>
      <c r="L39" s="35">
        <f t="shared" si="1"/>
        <v>486.4405235</v>
      </c>
      <c r="M39" s="3">
        <v>1318.7428568988048</v>
      </c>
      <c r="N39" s="3"/>
      <c r="O39" s="3"/>
      <c r="P39" s="3"/>
      <c r="Q39" s="3"/>
      <c r="R39" s="3"/>
      <c r="S39" s="3"/>
      <c r="T39" s="6"/>
    </row>
    <row r="40" ht="30.0" customHeight="1">
      <c r="A40" s="6">
        <v>36.0</v>
      </c>
      <c r="B40" s="24" t="s">
        <v>1152</v>
      </c>
      <c r="C40" s="66" t="s">
        <v>1153</v>
      </c>
      <c r="D40" s="67">
        <v>0.0</v>
      </c>
      <c r="E40" s="67">
        <v>0.653610467910766</v>
      </c>
      <c r="F40" s="29" t="s">
        <v>1262</v>
      </c>
      <c r="G40" s="28">
        <v>0.0</v>
      </c>
      <c r="H40" s="28">
        <v>0.325948476791381</v>
      </c>
      <c r="I40" s="49" t="s">
        <v>1155</v>
      </c>
      <c r="J40" s="50">
        <v>0.0</v>
      </c>
      <c r="K40" s="50">
        <v>2.51705956459045</v>
      </c>
      <c r="L40" s="35">
        <f t="shared" si="1"/>
        <v>0.2596722291</v>
      </c>
      <c r="M40" s="3">
        <v>883.5094495552518</v>
      </c>
      <c r="N40" s="3"/>
      <c r="O40" s="3"/>
      <c r="P40" s="3"/>
      <c r="Q40" s="3"/>
      <c r="R40" s="3"/>
      <c r="S40" s="3"/>
      <c r="T40" s="6"/>
    </row>
    <row r="41" ht="30.0" customHeight="1">
      <c r="A41" s="6">
        <v>37.0</v>
      </c>
      <c r="B41" s="24" t="s">
        <v>1156</v>
      </c>
      <c r="C41" s="66" t="s">
        <v>1157</v>
      </c>
      <c r="D41" s="67">
        <v>0.0</v>
      </c>
      <c r="E41" s="67">
        <v>0.530229091644287</v>
      </c>
      <c r="F41" s="29" t="s">
        <v>1263</v>
      </c>
      <c r="G41" s="28">
        <v>0.0</v>
      </c>
      <c r="H41" s="28">
        <v>0.200006008148193</v>
      </c>
      <c r="I41" s="49" t="s">
        <v>1159</v>
      </c>
      <c r="J41" s="50">
        <v>0.0</v>
      </c>
      <c r="K41" s="50">
        <v>1.16577076911926</v>
      </c>
      <c r="L41" s="35">
        <f t="shared" si="1"/>
        <v>0.4548313491</v>
      </c>
      <c r="M41" s="3">
        <v>1821.0785160601602</v>
      </c>
      <c r="N41" s="3"/>
      <c r="O41" s="3"/>
      <c r="P41" s="3"/>
      <c r="Q41" s="3"/>
      <c r="R41" s="3"/>
      <c r="S41" s="3"/>
      <c r="T41" s="6"/>
    </row>
    <row r="42" ht="30.0" customHeight="1">
      <c r="A42" s="6">
        <v>38.0</v>
      </c>
      <c r="B42" s="24" t="s">
        <v>1160</v>
      </c>
      <c r="C42" s="66" t="s">
        <v>1161</v>
      </c>
      <c r="D42" s="67">
        <v>0.0</v>
      </c>
      <c r="E42" s="67">
        <v>0.555349588394165</v>
      </c>
      <c r="F42" s="29" t="s">
        <v>1162</v>
      </c>
      <c r="G42" s="28">
        <v>0.0</v>
      </c>
      <c r="H42" s="28">
        <v>0.148988485336303</v>
      </c>
      <c r="I42" s="49" t="s">
        <v>1163</v>
      </c>
      <c r="J42" s="50">
        <v>0.0</v>
      </c>
      <c r="K42" s="50">
        <v>1.18656182289123</v>
      </c>
      <c r="L42" s="35">
        <f t="shared" si="1"/>
        <v>0.4680325776</v>
      </c>
      <c r="M42" s="3">
        <v>1.3676735432147065</v>
      </c>
      <c r="N42" s="3"/>
      <c r="O42" s="3"/>
      <c r="P42" s="3"/>
      <c r="Q42" s="3"/>
      <c r="R42" s="3"/>
      <c r="S42" s="3"/>
      <c r="T42" s="6"/>
    </row>
    <row r="43" ht="30.0" customHeight="1">
      <c r="A43" s="6">
        <v>39.0</v>
      </c>
      <c r="B43" s="24" t="s">
        <v>1164</v>
      </c>
      <c r="C43" s="66" t="s">
        <v>1165</v>
      </c>
      <c r="D43" s="67">
        <v>0.0</v>
      </c>
      <c r="E43" s="67">
        <v>0.519975185394287</v>
      </c>
      <c r="F43" s="29" t="s">
        <v>1264</v>
      </c>
      <c r="G43" s="28">
        <v>0.0</v>
      </c>
      <c r="H43" s="28">
        <v>0.12099814414978</v>
      </c>
      <c r="I43" s="49" t="s">
        <v>1167</v>
      </c>
      <c r="J43" s="50">
        <v>0.0</v>
      </c>
      <c r="K43" s="50">
        <v>0.540194034576416</v>
      </c>
      <c r="L43" s="35">
        <f t="shared" si="1"/>
        <v>0.9625711358</v>
      </c>
      <c r="M43" s="3">
        <f>AVERAGE(M5:M42)</f>
        <v>164.3286154</v>
      </c>
      <c r="N43" s="3"/>
      <c r="O43" s="3"/>
      <c r="P43" s="3"/>
      <c r="Q43" s="3"/>
      <c r="R43" s="3"/>
      <c r="S43" s="3"/>
      <c r="T43" s="6"/>
    </row>
    <row r="44" ht="30.0" customHeight="1">
      <c r="A44" s="6">
        <v>40.0</v>
      </c>
      <c r="B44" s="24" t="s">
        <v>1168</v>
      </c>
      <c r="C44" s="66" t="s">
        <v>1265</v>
      </c>
      <c r="D44" s="67">
        <v>1.0E-4</v>
      </c>
      <c r="E44" s="67">
        <v>4.55883121490478</v>
      </c>
      <c r="F44" s="29" t="s">
        <v>1266</v>
      </c>
      <c r="G44" s="28">
        <v>1.0E-4</v>
      </c>
      <c r="H44" s="28">
        <v>0.0670588016510009</v>
      </c>
      <c r="I44" s="49" t="s">
        <v>1267</v>
      </c>
      <c r="J44" s="50">
        <v>9.9778175E-5</v>
      </c>
      <c r="K44" s="50">
        <v>0.0199339389801025</v>
      </c>
      <c r="L44" s="35">
        <f t="shared" si="1"/>
        <v>228.6969585</v>
      </c>
      <c r="M44" s="3"/>
      <c r="N44" s="3"/>
      <c r="O44" s="3"/>
      <c r="P44" s="3"/>
      <c r="Q44" s="3"/>
      <c r="R44" s="3"/>
      <c r="S44" s="3"/>
      <c r="T44" s="6"/>
    </row>
    <row r="45" ht="30.0" customHeight="1">
      <c r="A45" s="6">
        <v>41.0</v>
      </c>
      <c r="B45" s="24" t="s">
        <v>1172</v>
      </c>
      <c r="C45" s="66" t="s">
        <v>1268</v>
      </c>
      <c r="D45" s="67">
        <v>2.0E-4</v>
      </c>
      <c r="E45" s="67">
        <v>2.54598951339721</v>
      </c>
      <c r="F45" s="29" t="s">
        <v>1269</v>
      </c>
      <c r="G45" s="28">
        <v>2.0E-4</v>
      </c>
      <c r="H45" s="28">
        <v>0.0580196380615234</v>
      </c>
      <c r="I45" s="49" t="s">
        <v>1270</v>
      </c>
      <c r="J45" s="50">
        <v>2.014637E-4</v>
      </c>
      <c r="K45" s="50">
        <v>0.0129694938659667</v>
      </c>
      <c r="L45" s="35">
        <f t="shared" si="1"/>
        <v>196.3060039</v>
      </c>
      <c r="M45" s="3"/>
      <c r="N45" s="3"/>
      <c r="O45" s="3"/>
      <c r="P45" s="3"/>
      <c r="Q45" s="3"/>
      <c r="R45" s="3"/>
      <c r="S45" s="3"/>
      <c r="T45" s="6"/>
    </row>
    <row r="46" ht="30.0" customHeight="1">
      <c r="A46" s="6">
        <v>42.0</v>
      </c>
      <c r="B46" s="24" t="s">
        <v>1176</v>
      </c>
      <c r="C46" s="66" t="s">
        <v>1271</v>
      </c>
      <c r="D46" s="67">
        <v>8.0E-4</v>
      </c>
      <c r="E46" s="67">
        <v>16.8955659866333</v>
      </c>
      <c r="F46" s="29" t="s">
        <v>1272</v>
      </c>
      <c r="G46" s="28">
        <v>8.0E-4</v>
      </c>
      <c r="H46" s="28">
        <v>0.115998268127441</v>
      </c>
      <c r="I46" s="49" t="s">
        <v>1273</v>
      </c>
      <c r="J46" s="50">
        <v>7.6055527E-4</v>
      </c>
      <c r="K46" s="50">
        <v>0.0709033012390136</v>
      </c>
      <c r="L46" s="35">
        <f t="shared" si="1"/>
        <v>238.2902586</v>
      </c>
      <c r="M46" s="3"/>
      <c r="N46" s="3"/>
      <c r="O46" s="3"/>
      <c r="P46" s="3"/>
      <c r="Q46" s="3"/>
      <c r="R46" s="3"/>
      <c r="S46" s="3"/>
      <c r="T46" s="6"/>
    </row>
    <row r="47" ht="30.0" customHeight="1">
      <c r="A47" s="6">
        <v>43.0</v>
      </c>
      <c r="B47" s="24" t="s">
        <v>1180</v>
      </c>
      <c r="C47" s="66" t="s">
        <v>1181</v>
      </c>
      <c r="D47" s="67">
        <v>0.0</v>
      </c>
      <c r="E47" s="67">
        <v>0.911198854446411</v>
      </c>
      <c r="F47" s="29" t="s">
        <v>1274</v>
      </c>
      <c r="G47" s="28">
        <v>0.0</v>
      </c>
      <c r="H47" s="28">
        <v>0.726000547409057</v>
      </c>
      <c r="I47" s="49" t="s">
        <v>1183</v>
      </c>
      <c r="J47" s="50">
        <v>0.0</v>
      </c>
      <c r="K47" s="50">
        <v>2.97075676918029</v>
      </c>
      <c r="L47" s="35">
        <f t="shared" si="1"/>
        <v>0.3067228068</v>
      </c>
      <c r="M47" s="3"/>
      <c r="N47" s="3"/>
      <c r="O47" s="3"/>
      <c r="P47" s="3"/>
      <c r="Q47" s="3"/>
      <c r="R47" s="3"/>
      <c r="S47" s="3"/>
      <c r="T47" s="6"/>
    </row>
    <row r="48" ht="30.0" customHeight="1">
      <c r="A48" s="6">
        <v>44.0</v>
      </c>
      <c r="B48" s="24" t="s">
        <v>1184</v>
      </c>
      <c r="C48" s="66" t="s">
        <v>1185</v>
      </c>
      <c r="D48" s="67">
        <v>0.0</v>
      </c>
      <c r="E48" s="67">
        <v>1.06543779373168</v>
      </c>
      <c r="F48" s="29" t="s">
        <v>1275</v>
      </c>
      <c r="G48" s="28">
        <v>0.0</v>
      </c>
      <c r="H48" s="28">
        <v>0.32899522781372</v>
      </c>
      <c r="I48" s="49" t="s">
        <v>1187</v>
      </c>
      <c r="J48" s="50">
        <v>0.0</v>
      </c>
      <c r="K48" s="50">
        <v>1.3569118976593</v>
      </c>
      <c r="L48" s="35">
        <f t="shared" si="1"/>
        <v>0.7851930516</v>
      </c>
      <c r="M48" s="3"/>
      <c r="N48" s="3"/>
      <c r="O48" s="3"/>
      <c r="P48" s="3"/>
      <c r="Q48" s="3"/>
      <c r="R48" s="3"/>
      <c r="S48" s="3"/>
      <c r="T48" s="6"/>
    </row>
    <row r="49" ht="30.0" customHeight="1">
      <c r="A49" s="6">
        <v>45.0</v>
      </c>
      <c r="B49" s="24" t="s">
        <v>1188</v>
      </c>
      <c r="C49" s="66" t="s">
        <v>1189</v>
      </c>
      <c r="D49" s="67">
        <v>0.0</v>
      </c>
      <c r="E49" s="67">
        <v>0.798968315124511</v>
      </c>
      <c r="F49" s="29" t="s">
        <v>1190</v>
      </c>
      <c r="G49" s="28">
        <v>0.0</v>
      </c>
      <c r="H49" s="28">
        <v>0.265025854110717</v>
      </c>
      <c r="I49" s="49" t="s">
        <v>1191</v>
      </c>
      <c r="J49" s="50">
        <v>0.0</v>
      </c>
      <c r="K49" s="50">
        <v>1.41179609298706</v>
      </c>
      <c r="L49" s="35">
        <f t="shared" si="1"/>
        <v>0.565923308</v>
      </c>
      <c r="M49" s="3"/>
      <c r="N49" s="3"/>
      <c r="O49" s="3"/>
      <c r="P49" s="3"/>
      <c r="Q49" s="3"/>
      <c r="R49" s="3"/>
      <c r="S49" s="3"/>
      <c r="T49" s="6"/>
    </row>
    <row r="50" ht="30.0" customHeight="1">
      <c r="A50" s="6">
        <v>46.0</v>
      </c>
      <c r="B50" s="24" t="s">
        <v>1192</v>
      </c>
      <c r="C50" s="66" t="s">
        <v>1193</v>
      </c>
      <c r="D50" s="67">
        <v>0.0</v>
      </c>
      <c r="E50" s="67">
        <v>0.798940658569335</v>
      </c>
      <c r="F50" s="29" t="s">
        <v>1276</v>
      </c>
      <c r="G50" s="28">
        <v>0.0</v>
      </c>
      <c r="H50" s="28">
        <v>0.321007966995239</v>
      </c>
      <c r="I50" s="49" t="s">
        <v>1195</v>
      </c>
      <c r="J50" s="50">
        <v>0.0</v>
      </c>
      <c r="K50" s="50">
        <v>0.639063358306884</v>
      </c>
      <c r="L50" s="35">
        <f t="shared" si="1"/>
        <v>1.250174413</v>
      </c>
      <c r="M50" s="3"/>
      <c r="N50" s="3"/>
      <c r="O50" s="3"/>
      <c r="P50" s="3"/>
      <c r="Q50" s="3"/>
      <c r="R50" s="3"/>
      <c r="S50" s="3"/>
      <c r="T50" s="6"/>
    </row>
    <row r="51" ht="30.0" customHeight="1">
      <c r="A51" s="6">
        <v>47.0</v>
      </c>
      <c r="B51" s="24" t="s">
        <v>1196</v>
      </c>
      <c r="C51" s="66" t="s">
        <v>1277</v>
      </c>
      <c r="D51" s="67">
        <v>1.0E-4</v>
      </c>
      <c r="E51" s="67">
        <v>36.8086206912994</v>
      </c>
      <c r="F51" s="29" t="s">
        <v>1278</v>
      </c>
      <c r="G51" s="28">
        <v>1.0E-4</v>
      </c>
      <c r="H51" s="28">
        <v>0.154006242752075</v>
      </c>
      <c r="I51" s="49" t="s">
        <v>1279</v>
      </c>
      <c r="J51" s="50">
        <v>9.9778175E-5</v>
      </c>
      <c r="K51" s="50">
        <v>0.027911901473999</v>
      </c>
      <c r="L51" s="35">
        <f t="shared" si="1"/>
        <v>1318.742857</v>
      </c>
      <c r="M51" s="3"/>
      <c r="N51" s="3"/>
      <c r="O51" s="3"/>
      <c r="P51" s="3"/>
      <c r="Q51" s="3"/>
      <c r="R51" s="3"/>
      <c r="S51" s="3"/>
      <c r="T51" s="6"/>
    </row>
    <row r="52" ht="30.0" customHeight="1">
      <c r="A52" s="6">
        <v>48.0</v>
      </c>
      <c r="B52" s="24" t="s">
        <v>1200</v>
      </c>
      <c r="C52" s="66" t="s">
        <v>1280</v>
      </c>
      <c r="D52" s="67">
        <v>3.0E-4</v>
      </c>
      <c r="E52" s="67">
        <v>19.3713417053222</v>
      </c>
      <c r="F52" s="29" t="s">
        <v>1281</v>
      </c>
      <c r="G52" s="28">
        <v>3.0E-4</v>
      </c>
      <c r="H52" s="28">
        <v>0.124999284744262</v>
      </c>
      <c r="I52" s="49" t="s">
        <v>1282</v>
      </c>
      <c r="J52" s="50">
        <v>2.758503E-4</v>
      </c>
      <c r="K52" s="50">
        <v>0.0219254493713378</v>
      </c>
      <c r="L52" s="35">
        <f t="shared" si="1"/>
        <v>883.5094496</v>
      </c>
      <c r="M52" s="3"/>
      <c r="N52" s="3"/>
      <c r="O52" s="3"/>
      <c r="P52" s="3"/>
      <c r="Q52" s="3"/>
      <c r="R52" s="3"/>
      <c r="S52" s="3"/>
      <c r="T52" s="6"/>
    </row>
    <row r="53" ht="30.0" customHeight="1">
      <c r="A53" s="6">
        <v>49.0</v>
      </c>
      <c r="B53" s="24" t="s">
        <v>1204</v>
      </c>
      <c r="C53" s="66" t="s">
        <v>1283</v>
      </c>
      <c r="D53" s="67">
        <v>8.0E-4</v>
      </c>
      <c r="E53" s="67">
        <v>148.879094362258</v>
      </c>
      <c r="F53" s="29" t="s">
        <v>1284</v>
      </c>
      <c r="G53" s="28">
        <v>8.0E-4</v>
      </c>
      <c r="H53" s="28">
        <v>0.36400818824768</v>
      </c>
      <c r="I53" s="49" t="s">
        <v>1285</v>
      </c>
      <c r="J53" s="50">
        <v>7.6055527E-4</v>
      </c>
      <c r="K53" s="50">
        <v>0.0817532539367675</v>
      </c>
      <c r="L53" s="35">
        <f t="shared" si="1"/>
        <v>1821.078516</v>
      </c>
      <c r="M53" s="3"/>
      <c r="N53" s="3"/>
      <c r="O53" s="3"/>
      <c r="P53" s="3"/>
      <c r="Q53" s="3"/>
      <c r="R53" s="3"/>
      <c r="S53" s="3"/>
      <c r="T53" s="6"/>
    </row>
    <row r="54" ht="30.0" customHeight="1">
      <c r="A54" s="6">
        <v>50.0</v>
      </c>
      <c r="B54" s="24" t="s">
        <v>1208</v>
      </c>
      <c r="C54" s="66" t="s">
        <v>1209</v>
      </c>
      <c r="D54" s="67">
        <v>0.0</v>
      </c>
      <c r="E54" s="67">
        <v>2.0010802745819</v>
      </c>
      <c r="F54" s="29" t="s">
        <v>1286</v>
      </c>
      <c r="G54" s="28">
        <v>0.0</v>
      </c>
      <c r="H54" s="28">
        <v>0.301998615264892</v>
      </c>
      <c r="I54" s="49" t="s">
        <v>1211</v>
      </c>
      <c r="J54" s="50">
        <v>0.0</v>
      </c>
      <c r="K54" s="50">
        <v>1.46312713623046</v>
      </c>
      <c r="L54" s="35">
        <f t="shared" si="1"/>
        <v>1.367673543</v>
      </c>
      <c r="M54" s="3"/>
      <c r="N54" s="3"/>
      <c r="O54" s="3"/>
      <c r="P54" s="3"/>
      <c r="Q54" s="3"/>
      <c r="R54" s="3"/>
      <c r="S54" s="3"/>
      <c r="T54" s="6"/>
    </row>
    <row r="55" ht="12.75" customHeight="1">
      <c r="A55" s="39"/>
      <c r="B55" s="2"/>
      <c r="C55" s="2"/>
      <c r="D55" s="2"/>
      <c r="E55" s="2"/>
      <c r="F55" s="2"/>
      <c r="G55" s="2"/>
      <c r="H55" s="38">
        <f>SUM(H5:H54)</f>
        <v>16.92794347</v>
      </c>
      <c r="I55" s="3"/>
      <c r="J55" s="3"/>
      <c r="K55" s="49">
        <f>SUM(K5:K54)</f>
        <v>50.0674572</v>
      </c>
      <c r="L55" s="35">
        <f t="shared" si="1"/>
        <v>0</v>
      </c>
      <c r="M55" s="3"/>
      <c r="N55" s="3"/>
      <c r="O55" s="3"/>
      <c r="P55" s="3"/>
      <c r="Q55" s="3"/>
      <c r="R55" s="3"/>
      <c r="S55" s="3"/>
      <c r="T55" s="6"/>
    </row>
    <row r="56" ht="12.75" customHeight="1">
      <c r="A56" s="39"/>
      <c r="B56" s="2"/>
      <c r="C56" s="2"/>
      <c r="D56" s="2"/>
      <c r="E56" s="2"/>
      <c r="F56" s="2"/>
      <c r="G56" s="2"/>
      <c r="H56" s="2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6"/>
    </row>
    <row r="57" ht="12.75" customHeight="1">
      <c r="A57" s="39"/>
      <c r="B57" s="2"/>
      <c r="C57" s="2"/>
      <c r="D57" s="2"/>
      <c r="E57" s="2"/>
      <c r="F57" s="2"/>
      <c r="G57" s="2"/>
      <c r="H57" s="2"/>
      <c r="I57" s="3"/>
      <c r="J57" s="3"/>
      <c r="K57" s="3"/>
      <c r="L57" s="2"/>
      <c r="M57" s="3"/>
      <c r="N57" s="3"/>
      <c r="O57" s="3"/>
      <c r="P57" s="3"/>
      <c r="Q57" s="3"/>
      <c r="R57" s="3"/>
      <c r="S57" s="3"/>
      <c r="T57" s="6"/>
    </row>
    <row r="58" ht="12.75" customHeight="1">
      <c r="A58" s="39"/>
      <c r="B58" s="2"/>
      <c r="C58" s="2"/>
      <c r="D58" s="2"/>
      <c r="E58" s="2"/>
      <c r="F58" s="2"/>
      <c r="G58" s="2"/>
      <c r="H58" s="2"/>
      <c r="I58" s="3"/>
      <c r="J58" s="3"/>
      <c r="K58" s="3"/>
      <c r="L58" s="2"/>
      <c r="M58" s="3"/>
      <c r="N58" s="3"/>
      <c r="O58" s="3"/>
      <c r="P58" s="3"/>
      <c r="Q58" s="3"/>
      <c r="R58" s="3"/>
      <c r="S58" s="3"/>
      <c r="T58" s="6"/>
    </row>
    <row r="59" ht="12.75" customHeight="1">
      <c r="A59" s="39"/>
      <c r="B59" s="2"/>
      <c r="C59" s="2"/>
      <c r="D59" s="2"/>
      <c r="E59" s="2"/>
      <c r="F59" s="2"/>
      <c r="G59" s="2"/>
      <c r="H59" s="2"/>
      <c r="I59" s="3"/>
      <c r="J59" s="3"/>
      <c r="K59" s="3"/>
      <c r="L59" s="2"/>
      <c r="M59" s="3"/>
      <c r="N59" s="3"/>
      <c r="O59" s="3"/>
      <c r="P59" s="3"/>
      <c r="Q59" s="3"/>
      <c r="R59" s="3"/>
      <c r="S59" s="3"/>
      <c r="T59" s="6"/>
    </row>
    <row r="60" ht="12.75" customHeight="1">
      <c r="A60" s="39"/>
      <c r="B60" s="2"/>
      <c r="C60" s="2"/>
      <c r="D60" s="2"/>
      <c r="E60" s="2"/>
      <c r="F60" s="2"/>
      <c r="G60" s="2"/>
      <c r="H60" s="2"/>
      <c r="I60" s="3"/>
      <c r="J60" s="3"/>
      <c r="K60" s="3"/>
      <c r="L60" s="2"/>
      <c r="M60" s="3"/>
      <c r="N60" s="3"/>
      <c r="O60" s="3"/>
      <c r="P60" s="3"/>
      <c r="Q60" s="3"/>
      <c r="R60" s="3"/>
      <c r="S60" s="3"/>
      <c r="T60" s="6"/>
    </row>
    <row r="61" ht="12.75" customHeight="1">
      <c r="A61" s="39"/>
      <c r="B61" s="2"/>
      <c r="C61" s="2"/>
      <c r="D61" s="2"/>
      <c r="E61" s="2"/>
      <c r="F61" s="2"/>
      <c r="G61" s="2"/>
      <c r="H61" s="2"/>
      <c r="I61" s="3"/>
      <c r="J61" s="3"/>
      <c r="K61" s="3"/>
      <c r="L61" s="2"/>
      <c r="M61" s="3"/>
      <c r="N61" s="3"/>
      <c r="O61" s="3"/>
      <c r="P61" s="3"/>
      <c r="Q61" s="3"/>
      <c r="R61" s="3"/>
      <c r="S61" s="3"/>
      <c r="T61" s="6"/>
    </row>
    <row r="62" ht="12.75" customHeight="1">
      <c r="A62" s="39"/>
      <c r="B62" s="2"/>
      <c r="C62" s="2"/>
      <c r="D62" s="2"/>
      <c r="E62" s="2"/>
      <c r="F62" s="2"/>
      <c r="G62" s="2"/>
      <c r="H62" s="2"/>
      <c r="I62" s="3"/>
      <c r="J62" s="3"/>
      <c r="K62" s="3"/>
      <c r="L62" s="2"/>
      <c r="M62" s="3"/>
      <c r="N62" s="3"/>
      <c r="O62" s="3"/>
      <c r="P62" s="3"/>
      <c r="Q62" s="3"/>
      <c r="R62" s="3"/>
      <c r="S62" s="3"/>
      <c r="T62" s="6"/>
    </row>
    <row r="63" ht="12.75" customHeight="1">
      <c r="A63" s="39"/>
      <c r="B63" s="2"/>
      <c r="C63" s="2"/>
      <c r="D63" s="2"/>
      <c r="E63" s="2"/>
      <c r="F63" s="2"/>
      <c r="G63" s="2"/>
      <c r="H63" s="2"/>
      <c r="I63" s="3"/>
      <c r="J63" s="3"/>
      <c r="K63" s="3"/>
      <c r="L63" s="2"/>
      <c r="M63" s="3"/>
      <c r="N63" s="3"/>
      <c r="O63" s="3"/>
      <c r="P63" s="3"/>
      <c r="Q63" s="3"/>
      <c r="R63" s="3"/>
      <c r="S63" s="3"/>
      <c r="T63" s="6"/>
    </row>
    <row r="64" ht="12.75" customHeight="1">
      <c r="A64" s="39"/>
      <c r="B64" s="2"/>
      <c r="C64" s="2"/>
      <c r="D64" s="2"/>
      <c r="E64" s="2"/>
      <c r="F64" s="2"/>
      <c r="G64" s="2"/>
      <c r="H64" s="2"/>
      <c r="I64" s="3"/>
      <c r="J64" s="3"/>
      <c r="K64" s="3"/>
      <c r="L64" s="2"/>
      <c r="M64" s="3"/>
      <c r="N64" s="3"/>
      <c r="O64" s="3"/>
      <c r="P64" s="3"/>
      <c r="Q64" s="3"/>
      <c r="R64" s="3"/>
      <c r="S64" s="3"/>
      <c r="T64" s="6"/>
    </row>
    <row r="65" ht="12.75" customHeight="1">
      <c r="A65" s="39"/>
      <c r="B65" s="2"/>
      <c r="C65" s="2"/>
      <c r="D65" s="2"/>
      <c r="E65" s="2"/>
      <c r="F65" s="2"/>
      <c r="G65" s="2"/>
      <c r="H65" s="2"/>
      <c r="I65" s="3"/>
      <c r="J65" s="3"/>
      <c r="K65" s="3"/>
      <c r="L65" s="2"/>
      <c r="M65" s="3"/>
      <c r="N65" s="3"/>
      <c r="O65" s="3"/>
      <c r="P65" s="3"/>
      <c r="Q65" s="3"/>
      <c r="R65" s="3"/>
      <c r="S65" s="3"/>
      <c r="T65" s="6"/>
    </row>
    <row r="66" ht="12.75" customHeight="1">
      <c r="A66" s="39"/>
      <c r="B66" s="2"/>
      <c r="C66" s="2"/>
      <c r="D66" s="2"/>
      <c r="E66" s="2"/>
      <c r="F66" s="2"/>
      <c r="G66" s="2"/>
      <c r="H66" s="2"/>
      <c r="I66" s="3"/>
      <c r="J66" s="3"/>
      <c r="K66" s="3"/>
      <c r="L66" s="2"/>
      <c r="M66" s="3"/>
      <c r="N66" s="3"/>
      <c r="O66" s="3"/>
      <c r="P66" s="3"/>
      <c r="Q66" s="3"/>
      <c r="R66" s="3"/>
      <c r="S66" s="3"/>
      <c r="T66" s="6"/>
    </row>
    <row r="67" ht="12.75" customHeight="1">
      <c r="A67" s="39"/>
      <c r="B67" s="2"/>
      <c r="C67" s="2"/>
      <c r="D67" s="2"/>
      <c r="E67" s="2"/>
      <c r="F67" s="2"/>
      <c r="G67" s="2"/>
      <c r="H67" s="2"/>
      <c r="I67" s="3"/>
      <c r="J67" s="3"/>
      <c r="K67" s="3"/>
      <c r="L67" s="2"/>
      <c r="M67" s="3"/>
      <c r="N67" s="3"/>
      <c r="O67" s="3"/>
      <c r="P67" s="3"/>
      <c r="Q67" s="3"/>
      <c r="R67" s="3"/>
      <c r="S67" s="3"/>
      <c r="T67" s="6"/>
    </row>
    <row r="68" ht="12.75" customHeight="1">
      <c r="A68" s="39"/>
      <c r="B68" s="2"/>
      <c r="C68" s="2"/>
      <c r="D68" s="2"/>
      <c r="E68" s="2"/>
      <c r="F68" s="2"/>
      <c r="G68" s="2"/>
      <c r="H68" s="2"/>
      <c r="I68" s="3"/>
      <c r="J68" s="3"/>
      <c r="K68" s="3"/>
      <c r="L68" s="2"/>
      <c r="M68" s="3"/>
      <c r="N68" s="3"/>
      <c r="O68" s="3"/>
      <c r="P68" s="3"/>
      <c r="Q68" s="3"/>
      <c r="R68" s="3"/>
      <c r="S68" s="3"/>
      <c r="T68" s="6"/>
    </row>
    <row r="69" ht="12.75" customHeight="1">
      <c r="A69" s="39"/>
      <c r="B69" s="2"/>
      <c r="C69" s="2"/>
      <c r="D69" s="2"/>
      <c r="E69" s="2"/>
      <c r="F69" s="2"/>
      <c r="G69" s="2"/>
      <c r="H69" s="2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6"/>
    </row>
    <row r="70" ht="12.75" customHeight="1">
      <c r="A70" s="39"/>
      <c r="B70" s="2"/>
      <c r="C70" s="2"/>
      <c r="D70" s="2"/>
      <c r="E70" s="2"/>
      <c r="F70" s="2"/>
      <c r="G70" s="2"/>
      <c r="H70" s="2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6"/>
    </row>
    <row r="71" ht="12.75" customHeight="1">
      <c r="A71" s="39"/>
      <c r="B71" s="2"/>
      <c r="C71" s="2"/>
      <c r="D71" s="2"/>
      <c r="E71" s="2"/>
      <c r="F71" s="2"/>
      <c r="G71" s="2"/>
      <c r="H71" s="2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6"/>
    </row>
    <row r="72" ht="12.75" customHeight="1">
      <c r="A72" s="39"/>
      <c r="B72" s="2"/>
      <c r="C72" s="2"/>
      <c r="D72" s="2"/>
      <c r="E72" s="2"/>
      <c r="F72" s="2"/>
      <c r="G72" s="2"/>
      <c r="H72" s="2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6"/>
    </row>
    <row r="73" ht="12.75" customHeight="1">
      <c r="A73" s="39"/>
      <c r="B73" s="2"/>
      <c r="C73" s="2"/>
      <c r="D73" s="2"/>
      <c r="E73" s="2"/>
      <c r="F73" s="2"/>
      <c r="G73" s="2"/>
      <c r="H73" s="2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6"/>
    </row>
    <row r="74" ht="12.75" customHeight="1">
      <c r="A74" s="39"/>
      <c r="B74" s="2"/>
      <c r="C74" s="2"/>
      <c r="D74" s="2"/>
      <c r="E74" s="2"/>
      <c r="F74" s="2"/>
      <c r="G74" s="2"/>
      <c r="H74" s="2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6"/>
    </row>
    <row r="75" ht="12.75" customHeight="1">
      <c r="A75" s="39"/>
      <c r="B75" s="2"/>
      <c r="C75" s="2"/>
      <c r="D75" s="2"/>
      <c r="E75" s="2"/>
      <c r="F75" s="2"/>
      <c r="G75" s="2"/>
      <c r="H75" s="2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6"/>
    </row>
    <row r="76" ht="12.75" customHeight="1">
      <c r="A76" s="39"/>
      <c r="B76" s="2"/>
      <c r="C76" s="2"/>
      <c r="D76" s="2"/>
      <c r="E76" s="2"/>
      <c r="F76" s="2"/>
      <c r="G76" s="2"/>
      <c r="H76" s="2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6"/>
    </row>
    <row r="77" ht="12.75" customHeight="1">
      <c r="A77" s="39"/>
      <c r="B77" s="2"/>
      <c r="C77" s="2"/>
      <c r="D77" s="2"/>
      <c r="E77" s="2"/>
      <c r="F77" s="2"/>
      <c r="G77" s="2"/>
      <c r="H77" s="2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6"/>
    </row>
    <row r="78" ht="12.75" customHeight="1">
      <c r="A78" s="39"/>
      <c r="B78" s="2"/>
      <c r="C78" s="2"/>
      <c r="D78" s="2"/>
      <c r="E78" s="2"/>
      <c r="F78" s="2"/>
      <c r="G78" s="2"/>
      <c r="H78" s="2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6"/>
    </row>
    <row r="79" ht="12.75" customHeight="1">
      <c r="A79" s="39"/>
      <c r="B79" s="2"/>
      <c r="C79" s="2"/>
      <c r="D79" s="2"/>
      <c r="E79" s="2"/>
      <c r="F79" s="2"/>
      <c r="G79" s="2"/>
      <c r="H79" s="2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6"/>
    </row>
    <row r="80" ht="12.75" customHeight="1">
      <c r="A80" s="39"/>
      <c r="B80" s="2"/>
      <c r="C80" s="2"/>
      <c r="D80" s="2"/>
      <c r="E80" s="2"/>
      <c r="F80" s="2"/>
      <c r="G80" s="2"/>
      <c r="H80" s="2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6"/>
    </row>
    <row r="81" ht="12.75" customHeight="1">
      <c r="A81" s="39"/>
      <c r="B81" s="2"/>
      <c r="C81" s="2"/>
      <c r="D81" s="2"/>
      <c r="E81" s="2"/>
      <c r="F81" s="2"/>
      <c r="G81" s="2"/>
      <c r="H81" s="2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6"/>
    </row>
    <row r="82" ht="12.75" customHeight="1">
      <c r="A82" s="39"/>
      <c r="B82" s="2"/>
      <c r="C82" s="2"/>
      <c r="D82" s="2"/>
      <c r="E82" s="2"/>
      <c r="F82" s="2"/>
      <c r="G82" s="2"/>
      <c r="H82" s="2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6"/>
    </row>
    <row r="83" ht="12.75" customHeight="1">
      <c r="A83" s="39"/>
      <c r="B83" s="2"/>
      <c r="C83" s="2"/>
      <c r="D83" s="2"/>
      <c r="E83" s="2"/>
      <c r="F83" s="2"/>
      <c r="G83" s="2"/>
      <c r="H83" s="2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6"/>
    </row>
    <row r="84" ht="12.75" customHeight="1">
      <c r="A84" s="39"/>
      <c r="B84" s="2"/>
      <c r="C84" s="2"/>
      <c r="D84" s="2"/>
      <c r="E84" s="2"/>
      <c r="F84" s="2"/>
      <c r="G84" s="2"/>
      <c r="H84" s="2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6"/>
    </row>
    <row r="85" ht="12.75" customHeight="1">
      <c r="A85" s="39"/>
      <c r="B85" s="2"/>
      <c r="C85" s="2"/>
      <c r="D85" s="2"/>
      <c r="E85" s="2"/>
      <c r="F85" s="2"/>
      <c r="G85" s="2"/>
      <c r="H85" s="2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6"/>
    </row>
    <row r="86" ht="12.75" customHeight="1">
      <c r="A86" s="39"/>
      <c r="B86" s="2"/>
      <c r="C86" s="2"/>
      <c r="D86" s="2"/>
      <c r="E86" s="2"/>
      <c r="F86" s="2"/>
      <c r="G86" s="2"/>
      <c r="H86" s="2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6"/>
    </row>
    <row r="87" ht="12.75" customHeight="1">
      <c r="A87" s="39"/>
      <c r="B87" s="2"/>
      <c r="C87" s="2"/>
      <c r="D87" s="2"/>
      <c r="E87" s="2"/>
      <c r="F87" s="2"/>
      <c r="G87" s="2"/>
      <c r="H87" s="2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6"/>
    </row>
    <row r="88" ht="12.75" customHeight="1">
      <c r="A88" s="39"/>
      <c r="B88" s="2"/>
      <c r="C88" s="2"/>
      <c r="D88" s="2"/>
      <c r="E88" s="2"/>
      <c r="F88" s="2"/>
      <c r="G88" s="2"/>
      <c r="H88" s="2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6"/>
    </row>
    <row r="89" ht="12.75" customHeight="1">
      <c r="A89" s="39"/>
      <c r="B89" s="2"/>
      <c r="C89" s="2"/>
      <c r="D89" s="2"/>
      <c r="E89" s="2"/>
      <c r="F89" s="2"/>
      <c r="G89" s="2"/>
      <c r="H89" s="2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6"/>
    </row>
    <row r="90" ht="12.75" customHeight="1">
      <c r="A90" s="39"/>
      <c r="B90" s="2"/>
      <c r="C90" s="2"/>
      <c r="D90" s="2"/>
      <c r="E90" s="2"/>
      <c r="F90" s="2"/>
      <c r="G90" s="2"/>
      <c r="H90" s="2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6"/>
    </row>
    <row r="91" ht="12.75" customHeight="1">
      <c r="A91" s="39"/>
      <c r="B91" s="2"/>
      <c r="C91" s="2"/>
      <c r="D91" s="2"/>
      <c r="E91" s="2"/>
      <c r="F91" s="2"/>
      <c r="G91" s="2"/>
      <c r="H91" s="2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6"/>
    </row>
    <row r="92" ht="12.75" customHeight="1">
      <c r="A92" s="39"/>
      <c r="B92" s="2"/>
      <c r="C92" s="2"/>
      <c r="D92" s="2"/>
      <c r="E92" s="2"/>
      <c r="F92" s="2"/>
      <c r="G92" s="2"/>
      <c r="H92" s="2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6"/>
    </row>
    <row r="93" ht="12.75" customHeight="1">
      <c r="A93" s="39"/>
      <c r="B93" s="2"/>
      <c r="C93" s="2"/>
      <c r="D93" s="2"/>
      <c r="E93" s="2"/>
      <c r="F93" s="2"/>
      <c r="G93" s="2"/>
      <c r="H93" s="2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6"/>
    </row>
    <row r="94" ht="12.75" customHeight="1">
      <c r="A94" s="39"/>
      <c r="B94" s="2"/>
      <c r="C94" s="2"/>
      <c r="D94" s="2"/>
      <c r="E94" s="2"/>
      <c r="F94" s="2"/>
      <c r="G94" s="2"/>
      <c r="H94" s="2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6"/>
    </row>
    <row r="95" ht="12.75" customHeight="1">
      <c r="A95" s="39"/>
      <c r="B95" s="2"/>
      <c r="C95" s="2"/>
      <c r="D95" s="2"/>
      <c r="E95" s="2"/>
      <c r="F95" s="2"/>
      <c r="G95" s="2"/>
      <c r="H95" s="2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6"/>
    </row>
    <row r="96" ht="12.75" customHeight="1">
      <c r="A96" s="39"/>
      <c r="B96" s="2"/>
      <c r="C96" s="2"/>
      <c r="D96" s="2"/>
      <c r="E96" s="2"/>
      <c r="F96" s="2"/>
      <c r="G96" s="2"/>
      <c r="H96" s="2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6"/>
    </row>
    <row r="97" ht="12.75" customHeight="1">
      <c r="A97" s="39"/>
      <c r="B97" s="2"/>
      <c r="C97" s="2"/>
      <c r="D97" s="2"/>
      <c r="E97" s="2"/>
      <c r="F97" s="2"/>
      <c r="G97" s="2"/>
      <c r="H97" s="2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6"/>
    </row>
    <row r="98" ht="12.75" customHeight="1">
      <c r="A98" s="39"/>
      <c r="B98" s="2"/>
      <c r="C98" s="2"/>
      <c r="D98" s="2"/>
      <c r="E98" s="2"/>
      <c r="F98" s="2"/>
      <c r="G98" s="2"/>
      <c r="H98" s="2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6"/>
    </row>
    <row r="99" ht="12.75" customHeight="1">
      <c r="A99" s="39"/>
      <c r="B99" s="2"/>
      <c r="C99" s="2"/>
      <c r="D99" s="2"/>
      <c r="E99" s="2"/>
      <c r="F99" s="2"/>
      <c r="G99" s="2"/>
      <c r="H99" s="2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6"/>
    </row>
    <row r="100" ht="12.75" customHeight="1">
      <c r="A100" s="39"/>
      <c r="B100" s="2"/>
      <c r="C100" s="2"/>
      <c r="D100" s="2"/>
      <c r="E100" s="2"/>
      <c r="F100" s="2"/>
      <c r="G100" s="2"/>
      <c r="H100" s="2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6"/>
    </row>
    <row r="101" ht="12.75" customHeight="1">
      <c r="A101" s="39"/>
      <c r="B101" s="2"/>
      <c r="C101" s="2"/>
      <c r="D101" s="2"/>
      <c r="E101" s="2"/>
      <c r="F101" s="2"/>
      <c r="G101" s="2"/>
      <c r="H101" s="2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6"/>
    </row>
    <row r="102" ht="12.75" customHeight="1">
      <c r="A102" s="39"/>
      <c r="B102" s="2"/>
      <c r="C102" s="2"/>
      <c r="D102" s="2"/>
      <c r="E102" s="2"/>
      <c r="F102" s="2"/>
      <c r="G102" s="2"/>
      <c r="H102" s="2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6"/>
    </row>
    <row r="103" ht="12.75" customHeight="1">
      <c r="A103" s="39"/>
      <c r="B103" s="2"/>
      <c r="C103" s="2"/>
      <c r="D103" s="2"/>
      <c r="E103" s="2"/>
      <c r="F103" s="2"/>
      <c r="G103" s="2"/>
      <c r="H103" s="2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6"/>
    </row>
    <row r="104" ht="12.75" customHeight="1">
      <c r="A104" s="39"/>
      <c r="B104" s="2"/>
      <c r="C104" s="2"/>
      <c r="D104" s="2"/>
      <c r="E104" s="2"/>
      <c r="F104" s="2"/>
      <c r="G104" s="2"/>
      <c r="H104" s="2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6"/>
    </row>
    <row r="105" ht="12.75" customHeight="1">
      <c r="A105" s="39"/>
      <c r="B105" s="2"/>
      <c r="C105" s="2"/>
      <c r="D105" s="2"/>
      <c r="E105" s="2"/>
      <c r="F105" s="2"/>
      <c r="G105" s="2"/>
      <c r="H105" s="2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6"/>
    </row>
    <row r="106" ht="12.75" customHeight="1">
      <c r="A106" s="39"/>
      <c r="B106" s="2"/>
      <c r="C106" s="2"/>
      <c r="D106" s="2"/>
      <c r="E106" s="2"/>
      <c r="F106" s="2"/>
      <c r="G106" s="2"/>
      <c r="H106" s="2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6"/>
    </row>
    <row r="107" ht="12.75" customHeight="1">
      <c r="A107" s="39"/>
      <c r="B107" s="2"/>
      <c r="C107" s="2"/>
      <c r="D107" s="2"/>
      <c r="E107" s="2"/>
      <c r="F107" s="2"/>
      <c r="G107" s="2"/>
      <c r="H107" s="2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6"/>
    </row>
    <row r="108" ht="12.75" customHeight="1">
      <c r="A108" s="39"/>
      <c r="B108" s="2"/>
      <c r="C108" s="2"/>
      <c r="D108" s="2"/>
      <c r="E108" s="2"/>
      <c r="F108" s="2"/>
      <c r="G108" s="2"/>
      <c r="H108" s="2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6"/>
    </row>
    <row r="109" ht="12.75" customHeight="1">
      <c r="A109" s="39"/>
      <c r="B109" s="2"/>
      <c r="C109" s="2"/>
      <c r="D109" s="2"/>
      <c r="E109" s="2"/>
      <c r="F109" s="2"/>
      <c r="G109" s="2"/>
      <c r="H109" s="2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3"/>
      <c r="T109" s="6"/>
    </row>
    <row r="110" ht="12.75" customHeight="1">
      <c r="A110" s="39"/>
      <c r="B110" s="2"/>
      <c r="C110" s="2"/>
      <c r="D110" s="2"/>
      <c r="E110" s="2"/>
      <c r="F110" s="2"/>
      <c r="G110" s="2"/>
      <c r="H110" s="2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6"/>
    </row>
    <row r="111" ht="12.75" customHeight="1">
      <c r="A111" s="39"/>
      <c r="B111" s="2"/>
      <c r="C111" s="2"/>
      <c r="D111" s="2"/>
      <c r="E111" s="2"/>
      <c r="F111" s="2"/>
      <c r="G111" s="2"/>
      <c r="H111" s="2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6"/>
    </row>
    <row r="112" ht="12.75" customHeight="1">
      <c r="A112" s="39"/>
      <c r="B112" s="2"/>
      <c r="C112" s="2"/>
      <c r="D112" s="2"/>
      <c r="E112" s="2"/>
      <c r="F112" s="2"/>
      <c r="G112" s="2"/>
      <c r="H112" s="2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6"/>
    </row>
    <row r="113" ht="12.75" customHeight="1">
      <c r="A113" s="39"/>
      <c r="B113" s="2"/>
      <c r="C113" s="2"/>
      <c r="D113" s="2"/>
      <c r="E113" s="2"/>
      <c r="F113" s="2"/>
      <c r="G113" s="2"/>
      <c r="H113" s="2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6"/>
    </row>
    <row r="114" ht="12.75" customHeight="1">
      <c r="A114" s="39"/>
      <c r="B114" s="2"/>
      <c r="C114" s="2"/>
      <c r="D114" s="2"/>
      <c r="E114" s="2"/>
      <c r="F114" s="2"/>
      <c r="G114" s="2"/>
      <c r="H114" s="2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6"/>
    </row>
    <row r="115" ht="12.75" customHeight="1">
      <c r="A115" s="39"/>
      <c r="B115" s="2"/>
      <c r="C115" s="2"/>
      <c r="D115" s="2"/>
      <c r="E115" s="2"/>
      <c r="F115" s="2"/>
      <c r="G115" s="2"/>
      <c r="H115" s="2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6"/>
    </row>
    <row r="116" ht="12.75" customHeight="1">
      <c r="A116" s="39"/>
      <c r="B116" s="2"/>
      <c r="C116" s="2"/>
      <c r="D116" s="2"/>
      <c r="E116" s="2"/>
      <c r="F116" s="2"/>
      <c r="G116" s="2"/>
      <c r="H116" s="2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6"/>
    </row>
    <row r="117" ht="12.75" customHeight="1">
      <c r="A117" s="39"/>
      <c r="B117" s="2"/>
      <c r="C117" s="2"/>
      <c r="D117" s="2"/>
      <c r="E117" s="2"/>
      <c r="F117" s="2"/>
      <c r="G117" s="2"/>
      <c r="H117" s="2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6"/>
    </row>
    <row r="118" ht="12.75" customHeight="1">
      <c r="A118" s="39"/>
      <c r="B118" s="2"/>
      <c r="C118" s="2"/>
      <c r="D118" s="2"/>
      <c r="E118" s="2"/>
      <c r="F118" s="2"/>
      <c r="G118" s="2"/>
      <c r="H118" s="2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6"/>
    </row>
    <row r="119" ht="12.75" customHeight="1">
      <c r="A119" s="39"/>
      <c r="B119" s="2"/>
      <c r="C119" s="2"/>
      <c r="D119" s="2"/>
      <c r="E119" s="2"/>
      <c r="F119" s="2"/>
      <c r="G119" s="2"/>
      <c r="H119" s="2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6"/>
    </row>
    <row r="120" ht="12.75" customHeight="1">
      <c r="A120" s="39"/>
      <c r="B120" s="2"/>
      <c r="C120" s="2"/>
      <c r="D120" s="2"/>
      <c r="E120" s="2"/>
      <c r="F120" s="2"/>
      <c r="G120" s="2"/>
      <c r="H120" s="2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6"/>
    </row>
    <row r="121" ht="12.75" customHeight="1">
      <c r="A121" s="39"/>
      <c r="B121" s="2"/>
      <c r="C121" s="2"/>
      <c r="D121" s="2"/>
      <c r="E121" s="2"/>
      <c r="F121" s="2"/>
      <c r="G121" s="2"/>
      <c r="H121" s="2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6"/>
    </row>
    <row r="122" ht="12.75" customHeight="1">
      <c r="A122" s="39"/>
      <c r="B122" s="2"/>
      <c r="C122" s="2"/>
      <c r="D122" s="2"/>
      <c r="E122" s="2"/>
      <c r="F122" s="2"/>
      <c r="G122" s="2"/>
      <c r="H122" s="2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3"/>
      <c r="T122" s="6"/>
    </row>
    <row r="123" ht="12.75" customHeight="1">
      <c r="A123" s="39"/>
      <c r="B123" s="2"/>
      <c r="C123" s="2"/>
      <c r="D123" s="2"/>
      <c r="E123" s="2"/>
      <c r="F123" s="2"/>
      <c r="G123" s="2"/>
      <c r="H123" s="2"/>
      <c r="I123" s="3"/>
      <c r="J123" s="3"/>
      <c r="K123" s="3"/>
      <c r="L123" s="2"/>
      <c r="M123" s="3"/>
      <c r="N123" s="3"/>
      <c r="O123" s="3"/>
      <c r="P123" s="3"/>
      <c r="Q123" s="3"/>
      <c r="R123" s="3"/>
      <c r="S123" s="3"/>
      <c r="T123" s="6"/>
    </row>
    <row r="124" ht="12.75" customHeight="1">
      <c r="A124" s="39"/>
      <c r="B124" s="2"/>
      <c r="C124" s="2"/>
      <c r="D124" s="2"/>
      <c r="E124" s="2"/>
      <c r="F124" s="2"/>
      <c r="G124" s="2"/>
      <c r="H124" s="2"/>
      <c r="I124" s="3"/>
      <c r="J124" s="3"/>
      <c r="K124" s="3"/>
      <c r="L124" s="2"/>
      <c r="M124" s="3"/>
      <c r="N124" s="3"/>
      <c r="O124" s="3"/>
      <c r="P124" s="3"/>
      <c r="Q124" s="3"/>
      <c r="R124" s="3"/>
      <c r="S124" s="3"/>
      <c r="T124" s="6"/>
    </row>
    <row r="125" ht="12.75" customHeight="1">
      <c r="A125" s="39"/>
      <c r="B125" s="2"/>
      <c r="C125" s="2"/>
      <c r="D125" s="2"/>
      <c r="E125" s="2"/>
      <c r="F125" s="2"/>
      <c r="G125" s="2"/>
      <c r="H125" s="2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3"/>
      <c r="T125" s="6"/>
    </row>
    <row r="126" ht="12.75" customHeight="1">
      <c r="A126" s="39"/>
      <c r="B126" s="2"/>
      <c r="C126" s="2"/>
      <c r="D126" s="2"/>
      <c r="E126" s="2"/>
      <c r="F126" s="2"/>
      <c r="G126" s="2"/>
      <c r="H126" s="2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3"/>
      <c r="T126" s="6"/>
    </row>
    <row r="127" ht="12.75" customHeight="1">
      <c r="A127" s="39"/>
      <c r="B127" s="2"/>
      <c r="C127" s="2"/>
      <c r="D127" s="2"/>
      <c r="E127" s="2"/>
      <c r="F127" s="2"/>
      <c r="G127" s="2"/>
      <c r="H127" s="2"/>
      <c r="I127" s="3"/>
      <c r="J127" s="3"/>
      <c r="K127" s="3"/>
      <c r="L127" s="2"/>
      <c r="M127" s="3"/>
      <c r="N127" s="3"/>
      <c r="O127" s="3"/>
      <c r="P127" s="3"/>
      <c r="Q127" s="3"/>
      <c r="R127" s="3"/>
      <c r="S127" s="3"/>
      <c r="T127" s="6"/>
    </row>
    <row r="128" ht="12.75" customHeight="1">
      <c r="A128" s="39"/>
      <c r="B128" s="2"/>
      <c r="C128" s="2"/>
      <c r="D128" s="2"/>
      <c r="E128" s="2"/>
      <c r="F128" s="2"/>
      <c r="G128" s="2"/>
      <c r="H128" s="2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3"/>
      <c r="T128" s="6"/>
    </row>
    <row r="129" ht="12.75" customHeight="1">
      <c r="A129" s="39"/>
      <c r="B129" s="2"/>
      <c r="C129" s="2"/>
      <c r="D129" s="2"/>
      <c r="E129" s="2"/>
      <c r="F129" s="2"/>
      <c r="G129" s="2"/>
      <c r="H129" s="2"/>
      <c r="I129" s="3"/>
      <c r="J129" s="3"/>
      <c r="K129" s="3"/>
      <c r="L129" s="2"/>
      <c r="M129" s="3"/>
      <c r="N129" s="3"/>
      <c r="O129" s="3"/>
      <c r="P129" s="3"/>
      <c r="Q129" s="3"/>
      <c r="R129" s="3"/>
      <c r="S129" s="3"/>
      <c r="T129" s="6"/>
    </row>
    <row r="130" ht="12.75" customHeight="1">
      <c r="A130" s="39"/>
      <c r="B130" s="2"/>
      <c r="C130" s="2"/>
      <c r="D130" s="2"/>
      <c r="E130" s="2"/>
      <c r="F130" s="2"/>
      <c r="G130" s="2"/>
      <c r="H130" s="2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3"/>
      <c r="T130" s="6"/>
    </row>
    <row r="131" ht="12.75" customHeight="1">
      <c r="A131" s="39"/>
      <c r="B131" s="2"/>
      <c r="C131" s="2"/>
      <c r="D131" s="2"/>
      <c r="E131" s="2"/>
      <c r="F131" s="2"/>
      <c r="G131" s="2"/>
      <c r="H131" s="2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3"/>
      <c r="T131" s="6"/>
    </row>
    <row r="132" ht="12.75" customHeight="1">
      <c r="A132" s="39"/>
      <c r="B132" s="2"/>
      <c r="C132" s="2"/>
      <c r="D132" s="2"/>
      <c r="E132" s="2"/>
      <c r="F132" s="2"/>
      <c r="G132" s="2"/>
      <c r="H132" s="2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3"/>
      <c r="T132" s="6"/>
    </row>
    <row r="133" ht="12.75" customHeight="1">
      <c r="A133" s="39"/>
      <c r="B133" s="2"/>
      <c r="C133" s="2"/>
      <c r="D133" s="2"/>
      <c r="E133" s="2"/>
      <c r="F133" s="2"/>
      <c r="G133" s="2"/>
      <c r="H133" s="2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3"/>
      <c r="T133" s="6"/>
    </row>
    <row r="134" ht="12.75" customHeight="1">
      <c r="A134" s="39"/>
      <c r="B134" s="2"/>
      <c r="C134" s="2"/>
      <c r="D134" s="2"/>
      <c r="E134" s="2"/>
      <c r="F134" s="2"/>
      <c r="G134" s="2"/>
      <c r="H134" s="2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3"/>
      <c r="T134" s="6"/>
    </row>
    <row r="135" ht="12.75" customHeight="1">
      <c r="A135" s="39"/>
      <c r="B135" s="2"/>
      <c r="C135" s="2"/>
      <c r="D135" s="2"/>
      <c r="E135" s="2"/>
      <c r="F135" s="2"/>
      <c r="G135" s="2"/>
      <c r="H135" s="2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3"/>
      <c r="T135" s="6"/>
    </row>
    <row r="136" ht="12.75" customHeight="1">
      <c r="A136" s="39"/>
      <c r="B136" s="2"/>
      <c r="C136" s="2"/>
      <c r="D136" s="2"/>
      <c r="E136" s="2"/>
      <c r="F136" s="2"/>
      <c r="G136" s="2"/>
      <c r="H136" s="2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3"/>
      <c r="T136" s="6"/>
    </row>
    <row r="137" ht="12.75" customHeight="1">
      <c r="A137" s="39"/>
      <c r="B137" s="2"/>
      <c r="C137" s="2"/>
      <c r="D137" s="2"/>
      <c r="E137" s="2"/>
      <c r="F137" s="2"/>
      <c r="G137" s="2"/>
      <c r="H137" s="2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3"/>
      <c r="T137" s="6"/>
    </row>
    <row r="138" ht="12.75" customHeight="1">
      <c r="A138" s="39"/>
      <c r="B138" s="2"/>
      <c r="C138" s="2"/>
      <c r="D138" s="2"/>
      <c r="E138" s="2"/>
      <c r="F138" s="2"/>
      <c r="G138" s="2"/>
      <c r="H138" s="2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3"/>
      <c r="T138" s="6"/>
    </row>
    <row r="139" ht="12.75" customHeight="1">
      <c r="A139" s="39"/>
      <c r="B139" s="2"/>
      <c r="C139" s="2"/>
      <c r="D139" s="2"/>
      <c r="E139" s="2"/>
      <c r="F139" s="2"/>
      <c r="G139" s="2"/>
      <c r="H139" s="2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3"/>
      <c r="T139" s="6"/>
    </row>
    <row r="140" ht="12.75" customHeight="1">
      <c r="A140" s="39"/>
      <c r="B140" s="2"/>
      <c r="C140" s="2"/>
      <c r="D140" s="2"/>
      <c r="E140" s="2"/>
      <c r="F140" s="2"/>
      <c r="G140" s="2"/>
      <c r="H140" s="2"/>
      <c r="I140" s="3"/>
      <c r="J140" s="3"/>
      <c r="K140" s="3"/>
      <c r="L140" s="2"/>
      <c r="M140" s="3"/>
      <c r="N140" s="3"/>
      <c r="O140" s="3"/>
      <c r="P140" s="3"/>
      <c r="Q140" s="3"/>
      <c r="R140" s="3"/>
      <c r="S140" s="3"/>
      <c r="T140" s="6"/>
    </row>
    <row r="141" ht="12.75" customHeight="1">
      <c r="A141" s="39"/>
      <c r="B141" s="2"/>
      <c r="C141" s="2"/>
      <c r="D141" s="2"/>
      <c r="E141" s="2"/>
      <c r="F141" s="2"/>
      <c r="G141" s="2"/>
      <c r="H141" s="2"/>
      <c r="I141" s="3"/>
      <c r="J141" s="3"/>
      <c r="K141" s="3"/>
      <c r="L141" s="2"/>
      <c r="M141" s="3"/>
      <c r="N141" s="3"/>
      <c r="O141" s="3"/>
      <c r="P141" s="3"/>
      <c r="Q141" s="3"/>
      <c r="R141" s="3"/>
      <c r="S141" s="3"/>
      <c r="T141" s="6"/>
    </row>
    <row r="142" ht="12.75" customHeight="1">
      <c r="A142" s="39"/>
      <c r="B142" s="2"/>
      <c r="C142" s="2"/>
      <c r="D142" s="2"/>
      <c r="E142" s="2"/>
      <c r="F142" s="2"/>
      <c r="G142" s="2"/>
      <c r="H142" s="2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3"/>
      <c r="T142" s="6"/>
    </row>
    <row r="143" ht="12.75" customHeight="1">
      <c r="A143" s="39"/>
      <c r="B143" s="2"/>
      <c r="C143" s="2"/>
      <c r="D143" s="2"/>
      <c r="E143" s="2"/>
      <c r="F143" s="2"/>
      <c r="G143" s="2"/>
      <c r="H143" s="2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3"/>
      <c r="T143" s="6"/>
    </row>
    <row r="144" ht="12.75" customHeight="1">
      <c r="A144" s="39"/>
      <c r="B144" s="2"/>
      <c r="C144" s="2"/>
      <c r="D144" s="2"/>
      <c r="E144" s="2"/>
      <c r="F144" s="2"/>
      <c r="G144" s="2"/>
      <c r="H144" s="2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3"/>
      <c r="T144" s="6"/>
    </row>
    <row r="145" ht="12.75" customHeight="1">
      <c r="A145" s="39"/>
      <c r="B145" s="2"/>
      <c r="C145" s="2"/>
      <c r="D145" s="2"/>
      <c r="E145" s="2"/>
      <c r="F145" s="2"/>
      <c r="G145" s="2"/>
      <c r="H145" s="2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3"/>
      <c r="T145" s="6"/>
    </row>
    <row r="146" ht="12.75" customHeight="1">
      <c r="A146" s="39"/>
      <c r="B146" s="2"/>
      <c r="C146" s="2"/>
      <c r="D146" s="2"/>
      <c r="E146" s="2"/>
      <c r="F146" s="2"/>
      <c r="G146" s="2"/>
      <c r="H146" s="2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3"/>
      <c r="T146" s="6"/>
    </row>
    <row r="147" ht="12.75" customHeight="1">
      <c r="A147" s="39"/>
      <c r="B147" s="2"/>
      <c r="C147" s="2"/>
      <c r="D147" s="2"/>
      <c r="E147" s="2"/>
      <c r="F147" s="2"/>
      <c r="G147" s="2"/>
      <c r="H147" s="2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3"/>
      <c r="T147" s="6"/>
    </row>
    <row r="148" ht="12.75" customHeight="1">
      <c r="A148" s="39"/>
      <c r="B148" s="2"/>
      <c r="C148" s="2"/>
      <c r="D148" s="2"/>
      <c r="E148" s="2"/>
      <c r="F148" s="2"/>
      <c r="G148" s="2"/>
      <c r="H148" s="2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3"/>
      <c r="T148" s="6"/>
    </row>
    <row r="149" ht="12.75" customHeight="1">
      <c r="A149" s="39"/>
      <c r="B149" s="2"/>
      <c r="C149" s="2"/>
      <c r="D149" s="2"/>
      <c r="E149" s="2"/>
      <c r="F149" s="2"/>
      <c r="G149" s="2"/>
      <c r="H149" s="2"/>
      <c r="I149" s="3"/>
      <c r="J149" s="3"/>
      <c r="K149" s="3"/>
      <c r="L149" s="2"/>
      <c r="M149" s="3"/>
      <c r="N149" s="3"/>
      <c r="O149" s="3"/>
      <c r="P149" s="3"/>
      <c r="Q149" s="3"/>
      <c r="R149" s="3"/>
      <c r="S149" s="3"/>
      <c r="T149" s="6"/>
    </row>
    <row r="150" ht="12.75" customHeight="1">
      <c r="A150" s="39"/>
      <c r="B150" s="2"/>
      <c r="C150" s="2"/>
      <c r="D150" s="2"/>
      <c r="E150" s="2"/>
      <c r="F150" s="2"/>
      <c r="G150" s="2"/>
      <c r="H150" s="2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3"/>
      <c r="T150" s="6"/>
    </row>
    <row r="151" ht="12.75" customHeight="1">
      <c r="A151" s="39"/>
      <c r="B151" s="2"/>
      <c r="C151" s="2"/>
      <c r="D151" s="2"/>
      <c r="E151" s="2"/>
      <c r="F151" s="2"/>
      <c r="G151" s="2"/>
      <c r="H151" s="2"/>
      <c r="I151" s="3"/>
      <c r="J151" s="3"/>
      <c r="K151" s="3"/>
      <c r="L151" s="2"/>
      <c r="M151" s="3"/>
      <c r="N151" s="3"/>
      <c r="O151" s="3"/>
      <c r="P151" s="3"/>
      <c r="Q151" s="3"/>
      <c r="R151" s="3"/>
      <c r="S151" s="3"/>
      <c r="T151" s="6"/>
    </row>
    <row r="152" ht="12.75" customHeight="1">
      <c r="A152" s="39"/>
      <c r="B152" s="2"/>
      <c r="C152" s="2"/>
      <c r="D152" s="2"/>
      <c r="E152" s="2"/>
      <c r="F152" s="2"/>
      <c r="G152" s="2"/>
      <c r="H152" s="2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3"/>
      <c r="T152" s="6"/>
    </row>
    <row r="153" ht="12.75" customHeight="1">
      <c r="A153" s="39"/>
      <c r="B153" s="2"/>
      <c r="C153" s="2"/>
      <c r="D153" s="2"/>
      <c r="E153" s="2"/>
      <c r="F153" s="2"/>
      <c r="G153" s="2"/>
      <c r="H153" s="2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3"/>
      <c r="T153" s="6"/>
    </row>
    <row r="154" ht="12.75" customHeight="1">
      <c r="A154" s="39"/>
      <c r="B154" s="2"/>
      <c r="C154" s="2"/>
      <c r="D154" s="2"/>
      <c r="E154" s="2"/>
      <c r="F154" s="2"/>
      <c r="G154" s="2"/>
      <c r="H154" s="2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3"/>
      <c r="T154" s="6"/>
    </row>
    <row r="155" ht="12.75" customHeight="1">
      <c r="A155" s="39"/>
      <c r="B155" s="2"/>
      <c r="C155" s="2"/>
      <c r="D155" s="2"/>
      <c r="E155" s="2"/>
      <c r="F155" s="2"/>
      <c r="G155" s="2"/>
      <c r="H155" s="2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3"/>
      <c r="T155" s="6"/>
    </row>
    <row r="156" ht="12.75" customHeight="1">
      <c r="A156" s="39"/>
      <c r="B156" s="2"/>
      <c r="C156" s="2"/>
      <c r="D156" s="2"/>
      <c r="E156" s="2"/>
      <c r="F156" s="2"/>
      <c r="G156" s="2"/>
      <c r="H156" s="2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3"/>
      <c r="T156" s="6"/>
    </row>
    <row r="157" ht="12.75" customHeight="1">
      <c r="A157" s="39"/>
      <c r="B157" s="2"/>
      <c r="C157" s="2"/>
      <c r="D157" s="2"/>
      <c r="E157" s="2"/>
      <c r="F157" s="2"/>
      <c r="G157" s="2"/>
      <c r="H157" s="2"/>
      <c r="I157" s="3"/>
      <c r="J157" s="3"/>
      <c r="K157" s="3"/>
      <c r="L157" s="2"/>
      <c r="M157" s="3"/>
      <c r="N157" s="3"/>
      <c r="O157" s="3"/>
      <c r="P157" s="3"/>
      <c r="Q157" s="3"/>
      <c r="R157" s="3"/>
      <c r="S157" s="3"/>
      <c r="T157" s="6"/>
    </row>
    <row r="158" ht="12.75" customHeight="1">
      <c r="A158" s="39"/>
      <c r="B158" s="2"/>
      <c r="C158" s="2"/>
      <c r="D158" s="2"/>
      <c r="E158" s="2"/>
      <c r="F158" s="2"/>
      <c r="G158" s="2"/>
      <c r="H158" s="2"/>
      <c r="I158" s="3"/>
      <c r="J158" s="3"/>
      <c r="K158" s="3"/>
      <c r="L158" s="2"/>
      <c r="M158" s="3"/>
      <c r="N158" s="3"/>
      <c r="O158" s="3"/>
      <c r="P158" s="3"/>
      <c r="Q158" s="3"/>
      <c r="R158" s="3"/>
      <c r="S158" s="3"/>
      <c r="T158" s="6"/>
    </row>
    <row r="159" ht="12.75" customHeight="1">
      <c r="A159" s="39"/>
      <c r="B159" s="2"/>
      <c r="C159" s="2"/>
      <c r="D159" s="2"/>
      <c r="E159" s="2"/>
      <c r="F159" s="2"/>
      <c r="G159" s="2"/>
      <c r="H159" s="2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3"/>
      <c r="T159" s="6"/>
    </row>
    <row r="160" ht="12.75" customHeight="1">
      <c r="A160" s="39"/>
      <c r="B160" s="2"/>
      <c r="C160" s="2"/>
      <c r="D160" s="2"/>
      <c r="E160" s="2"/>
      <c r="F160" s="2"/>
      <c r="G160" s="2"/>
      <c r="H160" s="2"/>
      <c r="I160" s="3"/>
      <c r="J160" s="3"/>
      <c r="K160" s="3"/>
      <c r="L160" s="2"/>
      <c r="M160" s="3"/>
      <c r="N160" s="3"/>
      <c r="O160" s="3"/>
      <c r="P160" s="3"/>
      <c r="Q160" s="3"/>
      <c r="R160" s="3"/>
      <c r="S160" s="3"/>
      <c r="T160" s="6"/>
    </row>
    <row r="161" ht="12.75" customHeight="1">
      <c r="A161" s="39"/>
      <c r="B161" s="2"/>
      <c r="C161" s="2"/>
      <c r="D161" s="2"/>
      <c r="E161" s="2"/>
      <c r="F161" s="2"/>
      <c r="G161" s="2"/>
      <c r="H161" s="2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3"/>
      <c r="T161" s="6"/>
    </row>
    <row r="162" ht="12.75" customHeight="1">
      <c r="A162" s="39"/>
      <c r="B162" s="2"/>
      <c r="C162" s="2"/>
      <c r="D162" s="2"/>
      <c r="E162" s="2"/>
      <c r="F162" s="2"/>
      <c r="G162" s="2"/>
      <c r="H162" s="2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3"/>
      <c r="T162" s="6"/>
    </row>
    <row r="163" ht="12.75" customHeight="1">
      <c r="A163" s="39"/>
      <c r="B163" s="2"/>
      <c r="C163" s="2"/>
      <c r="D163" s="2"/>
      <c r="E163" s="2"/>
      <c r="F163" s="2"/>
      <c r="G163" s="2"/>
      <c r="H163" s="2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3"/>
      <c r="T163" s="6"/>
    </row>
    <row r="164" ht="12.75" customHeight="1">
      <c r="A164" s="39"/>
      <c r="B164" s="2"/>
      <c r="C164" s="2"/>
      <c r="D164" s="2"/>
      <c r="E164" s="2"/>
      <c r="F164" s="2"/>
      <c r="G164" s="2"/>
      <c r="H164" s="2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3"/>
      <c r="T164" s="6"/>
    </row>
    <row r="165" ht="12.75" customHeight="1">
      <c r="A165" s="39"/>
      <c r="B165" s="2"/>
      <c r="C165" s="2"/>
      <c r="D165" s="2"/>
      <c r="E165" s="2"/>
      <c r="F165" s="2"/>
      <c r="G165" s="2"/>
      <c r="H165" s="2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3"/>
      <c r="T165" s="6"/>
    </row>
    <row r="166" ht="12.75" customHeight="1">
      <c r="A166" s="39"/>
      <c r="B166" s="2"/>
      <c r="C166" s="2"/>
      <c r="D166" s="2"/>
      <c r="E166" s="2"/>
      <c r="F166" s="2"/>
      <c r="G166" s="2"/>
      <c r="H166" s="2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3"/>
      <c r="T166" s="6"/>
    </row>
    <row r="167" ht="12.75" customHeight="1">
      <c r="A167" s="39"/>
      <c r="B167" s="2"/>
      <c r="C167" s="2"/>
      <c r="D167" s="2"/>
      <c r="E167" s="2"/>
      <c r="F167" s="2"/>
      <c r="G167" s="2"/>
      <c r="H167" s="2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3"/>
      <c r="T167" s="6"/>
    </row>
    <row r="168" ht="12.75" customHeight="1">
      <c r="A168" s="39"/>
      <c r="B168" s="2"/>
      <c r="C168" s="2"/>
      <c r="D168" s="2"/>
      <c r="E168" s="2"/>
      <c r="F168" s="2"/>
      <c r="G168" s="2"/>
      <c r="H168" s="2"/>
      <c r="I168" s="3"/>
      <c r="J168" s="3"/>
      <c r="K168" s="3"/>
      <c r="L168" s="2"/>
      <c r="M168" s="3"/>
      <c r="N168" s="3"/>
      <c r="O168" s="3"/>
      <c r="P168" s="3"/>
      <c r="Q168" s="3"/>
      <c r="R168" s="3"/>
      <c r="S168" s="3"/>
      <c r="T168" s="6"/>
    </row>
    <row r="169" ht="12.75" customHeight="1">
      <c r="A169" s="39"/>
      <c r="B169" s="2"/>
      <c r="C169" s="2"/>
      <c r="D169" s="2"/>
      <c r="E169" s="2"/>
      <c r="F169" s="2"/>
      <c r="G169" s="2"/>
      <c r="H169" s="2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3"/>
      <c r="T169" s="6"/>
    </row>
    <row r="170" ht="12.75" customHeight="1">
      <c r="A170" s="39"/>
      <c r="B170" s="2"/>
      <c r="C170" s="2"/>
      <c r="D170" s="2"/>
      <c r="E170" s="2"/>
      <c r="F170" s="2"/>
      <c r="G170" s="2"/>
      <c r="H170" s="2"/>
      <c r="I170" s="3"/>
      <c r="J170" s="3"/>
      <c r="K170" s="3"/>
      <c r="L170" s="2"/>
      <c r="M170" s="3"/>
      <c r="N170" s="3"/>
      <c r="O170" s="3"/>
      <c r="P170" s="3"/>
      <c r="Q170" s="3"/>
      <c r="R170" s="3"/>
      <c r="S170" s="3"/>
      <c r="T170" s="6"/>
    </row>
    <row r="171" ht="12.75" customHeight="1">
      <c r="A171" s="39"/>
      <c r="B171" s="2"/>
      <c r="C171" s="2"/>
      <c r="D171" s="2"/>
      <c r="E171" s="2"/>
      <c r="F171" s="2"/>
      <c r="G171" s="2"/>
      <c r="H171" s="2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3"/>
      <c r="T171" s="6"/>
    </row>
    <row r="172" ht="12.75" customHeight="1">
      <c r="A172" s="39"/>
      <c r="B172" s="2"/>
      <c r="C172" s="2"/>
      <c r="D172" s="2"/>
      <c r="E172" s="2"/>
      <c r="F172" s="2"/>
      <c r="G172" s="2"/>
      <c r="H172" s="2"/>
      <c r="I172" s="3"/>
      <c r="J172" s="3"/>
      <c r="K172" s="3"/>
      <c r="L172" s="2"/>
      <c r="M172" s="3"/>
      <c r="N172" s="3"/>
      <c r="O172" s="3"/>
      <c r="P172" s="3"/>
      <c r="Q172" s="3"/>
      <c r="R172" s="3"/>
      <c r="S172" s="3"/>
      <c r="T172" s="6"/>
    </row>
    <row r="173" ht="12.75" customHeight="1">
      <c r="A173" s="39"/>
      <c r="B173" s="2"/>
      <c r="C173" s="2"/>
      <c r="D173" s="2"/>
      <c r="E173" s="2"/>
      <c r="F173" s="2"/>
      <c r="G173" s="2"/>
      <c r="H173" s="2"/>
      <c r="I173" s="3"/>
      <c r="J173" s="3"/>
      <c r="K173" s="3"/>
      <c r="L173" s="2"/>
      <c r="M173" s="3"/>
      <c r="N173" s="3"/>
      <c r="O173" s="3"/>
      <c r="P173" s="3"/>
      <c r="Q173" s="3"/>
      <c r="R173" s="3"/>
      <c r="S173" s="3"/>
      <c r="T173" s="6"/>
    </row>
    <row r="174" ht="12.75" customHeight="1">
      <c r="A174" s="39"/>
      <c r="B174" s="2"/>
      <c r="C174" s="2"/>
      <c r="D174" s="2"/>
      <c r="E174" s="2"/>
      <c r="F174" s="2"/>
      <c r="G174" s="2"/>
      <c r="H174" s="2"/>
      <c r="I174" s="3"/>
      <c r="J174" s="3"/>
      <c r="K174" s="3"/>
      <c r="L174" s="2"/>
      <c r="M174" s="3"/>
      <c r="N174" s="3"/>
      <c r="O174" s="3"/>
      <c r="P174" s="3"/>
      <c r="Q174" s="3"/>
      <c r="R174" s="3"/>
      <c r="S174" s="3"/>
      <c r="T174" s="6"/>
    </row>
    <row r="175" ht="12.75" customHeight="1">
      <c r="A175" s="39"/>
      <c r="B175" s="2"/>
      <c r="C175" s="2"/>
      <c r="D175" s="2"/>
      <c r="E175" s="2"/>
      <c r="F175" s="2"/>
      <c r="G175" s="2"/>
      <c r="H175" s="2"/>
      <c r="I175" s="3"/>
      <c r="J175" s="3"/>
      <c r="K175" s="3"/>
      <c r="L175" s="2"/>
      <c r="M175" s="3"/>
      <c r="N175" s="3"/>
      <c r="O175" s="3"/>
      <c r="P175" s="3"/>
      <c r="Q175" s="3"/>
      <c r="R175" s="3"/>
      <c r="S175" s="3"/>
      <c r="T175" s="6"/>
    </row>
    <row r="176" ht="12.75" customHeight="1">
      <c r="A176" s="39"/>
      <c r="B176" s="2"/>
      <c r="C176" s="2"/>
      <c r="D176" s="2"/>
      <c r="E176" s="2"/>
      <c r="F176" s="2"/>
      <c r="G176" s="2"/>
      <c r="H176" s="2"/>
      <c r="I176" s="3"/>
      <c r="J176" s="3"/>
      <c r="K176" s="3"/>
      <c r="L176" s="2"/>
      <c r="M176" s="3"/>
      <c r="N176" s="3"/>
      <c r="O176" s="3"/>
      <c r="P176" s="3"/>
      <c r="Q176" s="3"/>
      <c r="R176" s="3"/>
      <c r="S176" s="3"/>
      <c r="T176" s="6"/>
    </row>
    <row r="177" ht="12.75" customHeight="1">
      <c r="A177" s="39"/>
      <c r="B177" s="2"/>
      <c r="C177" s="2"/>
      <c r="D177" s="2"/>
      <c r="E177" s="2"/>
      <c r="F177" s="2"/>
      <c r="G177" s="2"/>
      <c r="H177" s="2"/>
      <c r="I177" s="3"/>
      <c r="J177" s="3"/>
      <c r="K177" s="3"/>
      <c r="L177" s="2"/>
      <c r="M177" s="3"/>
      <c r="N177" s="3"/>
      <c r="O177" s="3"/>
      <c r="P177" s="3"/>
      <c r="Q177" s="3"/>
      <c r="R177" s="3"/>
      <c r="S177" s="3"/>
      <c r="T177" s="6"/>
    </row>
    <row r="178" ht="12.75" customHeight="1">
      <c r="A178" s="39"/>
      <c r="B178" s="2"/>
      <c r="C178" s="2"/>
      <c r="D178" s="2"/>
      <c r="E178" s="2"/>
      <c r="F178" s="2"/>
      <c r="G178" s="2"/>
      <c r="H178" s="2"/>
      <c r="I178" s="3"/>
      <c r="J178" s="3"/>
      <c r="K178" s="3"/>
      <c r="L178" s="2"/>
      <c r="M178" s="3"/>
      <c r="N178" s="3"/>
      <c r="O178" s="3"/>
      <c r="P178" s="3"/>
      <c r="Q178" s="3"/>
      <c r="R178" s="3"/>
      <c r="S178" s="3"/>
      <c r="T178" s="6"/>
    </row>
    <row r="179" ht="12.75" customHeight="1">
      <c r="A179" s="39"/>
      <c r="B179" s="2"/>
      <c r="C179" s="2"/>
      <c r="D179" s="2"/>
      <c r="E179" s="2"/>
      <c r="F179" s="2"/>
      <c r="G179" s="2"/>
      <c r="H179" s="2"/>
      <c r="I179" s="3"/>
      <c r="J179" s="3"/>
      <c r="K179" s="3"/>
      <c r="L179" s="2"/>
      <c r="M179" s="3"/>
      <c r="N179" s="3"/>
      <c r="O179" s="3"/>
      <c r="P179" s="3"/>
      <c r="Q179" s="3"/>
      <c r="R179" s="3"/>
      <c r="S179" s="3"/>
      <c r="T179" s="6"/>
    </row>
    <row r="180" ht="12.75" customHeight="1">
      <c r="A180" s="39"/>
      <c r="B180" s="2"/>
      <c r="C180" s="2"/>
      <c r="D180" s="2"/>
      <c r="E180" s="2"/>
      <c r="F180" s="2"/>
      <c r="G180" s="2"/>
      <c r="H180" s="2"/>
      <c r="I180" s="3"/>
      <c r="J180" s="3"/>
      <c r="K180" s="3"/>
      <c r="L180" s="2"/>
      <c r="M180" s="3"/>
      <c r="N180" s="3"/>
      <c r="O180" s="3"/>
      <c r="P180" s="3"/>
      <c r="Q180" s="3"/>
      <c r="R180" s="3"/>
      <c r="S180" s="3"/>
      <c r="T180" s="6"/>
    </row>
    <row r="181" ht="12.75" customHeight="1">
      <c r="A181" s="39"/>
      <c r="B181" s="2"/>
      <c r="C181" s="2"/>
      <c r="D181" s="2"/>
      <c r="E181" s="2"/>
      <c r="F181" s="2"/>
      <c r="G181" s="2"/>
      <c r="H181" s="2"/>
      <c r="I181" s="3"/>
      <c r="J181" s="3"/>
      <c r="K181" s="3"/>
      <c r="L181" s="2"/>
      <c r="M181" s="3"/>
      <c r="N181" s="3"/>
      <c r="O181" s="3"/>
      <c r="P181" s="3"/>
      <c r="Q181" s="3"/>
      <c r="R181" s="3"/>
      <c r="S181" s="3"/>
      <c r="T181" s="6"/>
    </row>
    <row r="182" ht="12.75" customHeight="1">
      <c r="A182" s="39"/>
      <c r="B182" s="2"/>
      <c r="C182" s="2"/>
      <c r="D182" s="2"/>
      <c r="E182" s="2"/>
      <c r="F182" s="2"/>
      <c r="G182" s="2"/>
      <c r="H182" s="2"/>
      <c r="I182" s="3"/>
      <c r="J182" s="3"/>
      <c r="K182" s="3"/>
      <c r="L182" s="2"/>
      <c r="M182" s="3"/>
      <c r="N182" s="3"/>
      <c r="O182" s="3"/>
      <c r="P182" s="3"/>
      <c r="Q182" s="3"/>
      <c r="R182" s="3"/>
      <c r="S182" s="3"/>
      <c r="T182" s="6"/>
    </row>
    <row r="183" ht="12.75" customHeight="1">
      <c r="A183" s="39"/>
      <c r="B183" s="2"/>
      <c r="C183" s="2"/>
      <c r="D183" s="2"/>
      <c r="E183" s="2"/>
      <c r="F183" s="2"/>
      <c r="G183" s="2"/>
      <c r="H183" s="2"/>
      <c r="I183" s="3"/>
      <c r="J183" s="3"/>
      <c r="K183" s="3"/>
      <c r="L183" s="2"/>
      <c r="M183" s="3"/>
      <c r="N183" s="3"/>
      <c r="O183" s="3"/>
      <c r="P183" s="3"/>
      <c r="Q183" s="3"/>
      <c r="R183" s="3"/>
      <c r="S183" s="3"/>
      <c r="T183" s="6"/>
    </row>
    <row r="184" ht="12.75" customHeight="1">
      <c r="A184" s="39"/>
      <c r="B184" s="2"/>
      <c r="C184" s="2"/>
      <c r="D184" s="2"/>
      <c r="E184" s="2"/>
      <c r="F184" s="2"/>
      <c r="G184" s="2"/>
      <c r="H184" s="2"/>
      <c r="I184" s="3"/>
      <c r="J184" s="3"/>
      <c r="K184" s="3"/>
      <c r="L184" s="2"/>
      <c r="M184" s="3"/>
      <c r="N184" s="3"/>
      <c r="O184" s="3"/>
      <c r="P184" s="3"/>
      <c r="Q184" s="3"/>
      <c r="R184" s="3"/>
      <c r="S184" s="3"/>
      <c r="T184" s="6"/>
    </row>
    <row r="185" ht="12.75" customHeight="1">
      <c r="A185" s="39"/>
      <c r="B185" s="2"/>
      <c r="C185" s="2"/>
      <c r="D185" s="2"/>
      <c r="E185" s="2"/>
      <c r="F185" s="2"/>
      <c r="G185" s="2"/>
      <c r="H185" s="2"/>
      <c r="I185" s="3"/>
      <c r="J185" s="3"/>
      <c r="K185" s="3"/>
      <c r="L185" s="2"/>
      <c r="M185" s="3"/>
      <c r="N185" s="3"/>
      <c r="O185" s="3"/>
      <c r="P185" s="3"/>
      <c r="Q185" s="3"/>
      <c r="R185" s="3"/>
      <c r="S185" s="3"/>
      <c r="T185" s="6"/>
    </row>
    <row r="186" ht="12.75" customHeight="1">
      <c r="A186" s="39"/>
      <c r="B186" s="2"/>
      <c r="C186" s="2"/>
      <c r="D186" s="2"/>
      <c r="E186" s="2"/>
      <c r="F186" s="2"/>
      <c r="G186" s="2"/>
      <c r="H186" s="2"/>
      <c r="I186" s="3"/>
      <c r="J186" s="3"/>
      <c r="K186" s="3"/>
      <c r="L186" s="2"/>
      <c r="M186" s="3"/>
      <c r="N186" s="3"/>
      <c r="O186" s="3"/>
      <c r="P186" s="3"/>
      <c r="Q186" s="3"/>
      <c r="R186" s="3"/>
      <c r="S186" s="3"/>
      <c r="T186" s="6"/>
    </row>
    <row r="187" ht="12.75" customHeight="1">
      <c r="A187" s="39"/>
      <c r="B187" s="2"/>
      <c r="C187" s="2"/>
      <c r="D187" s="2"/>
      <c r="E187" s="2"/>
      <c r="F187" s="2"/>
      <c r="G187" s="2"/>
      <c r="H187" s="2"/>
      <c r="I187" s="3"/>
      <c r="J187" s="3"/>
      <c r="K187" s="3"/>
      <c r="L187" s="2"/>
      <c r="M187" s="3"/>
      <c r="N187" s="3"/>
      <c r="O187" s="3"/>
      <c r="P187" s="3"/>
      <c r="Q187" s="3"/>
      <c r="R187" s="3"/>
      <c r="S187" s="3"/>
      <c r="T187" s="6"/>
    </row>
    <row r="188" ht="12.75" customHeight="1">
      <c r="A188" s="39"/>
      <c r="B188" s="2"/>
      <c r="C188" s="2"/>
      <c r="D188" s="2"/>
      <c r="E188" s="2"/>
      <c r="F188" s="2"/>
      <c r="G188" s="2"/>
      <c r="H188" s="2"/>
      <c r="I188" s="3"/>
      <c r="J188" s="3"/>
      <c r="K188" s="3"/>
      <c r="L188" s="2"/>
      <c r="M188" s="3"/>
      <c r="N188" s="3"/>
      <c r="O188" s="3"/>
      <c r="P188" s="3"/>
      <c r="Q188" s="3"/>
      <c r="R188" s="3"/>
      <c r="S188" s="3"/>
      <c r="T188" s="6"/>
    </row>
    <row r="189" ht="12.75" customHeight="1">
      <c r="A189" s="39"/>
      <c r="B189" s="2"/>
      <c r="C189" s="2"/>
      <c r="D189" s="2"/>
      <c r="E189" s="2"/>
      <c r="F189" s="2"/>
      <c r="G189" s="2"/>
      <c r="H189" s="2"/>
      <c r="I189" s="3"/>
      <c r="J189" s="3"/>
      <c r="K189" s="3"/>
      <c r="L189" s="2"/>
      <c r="M189" s="3"/>
      <c r="N189" s="3"/>
      <c r="O189" s="3"/>
      <c r="P189" s="3"/>
      <c r="Q189" s="3"/>
      <c r="R189" s="3"/>
      <c r="S189" s="3"/>
      <c r="T189" s="6"/>
    </row>
    <row r="190" ht="12.75" customHeight="1">
      <c r="A190" s="39"/>
      <c r="B190" s="2"/>
      <c r="C190" s="2"/>
      <c r="D190" s="2"/>
      <c r="E190" s="2"/>
      <c r="F190" s="2"/>
      <c r="G190" s="2"/>
      <c r="H190" s="2"/>
      <c r="I190" s="3"/>
      <c r="J190" s="3"/>
      <c r="K190" s="3"/>
      <c r="L190" s="2"/>
      <c r="M190" s="3"/>
      <c r="N190" s="3"/>
      <c r="O190" s="3"/>
      <c r="P190" s="3"/>
      <c r="Q190" s="3"/>
      <c r="R190" s="3"/>
      <c r="S190" s="3"/>
      <c r="T190" s="6"/>
    </row>
    <row r="191" ht="12.75" customHeight="1">
      <c r="A191" s="39"/>
      <c r="B191" s="2"/>
      <c r="C191" s="2"/>
      <c r="D191" s="2"/>
      <c r="E191" s="2"/>
      <c r="F191" s="2"/>
      <c r="G191" s="2"/>
      <c r="H191" s="2"/>
      <c r="I191" s="3"/>
      <c r="J191" s="3"/>
      <c r="K191" s="3"/>
      <c r="L191" s="2"/>
      <c r="M191" s="3"/>
      <c r="N191" s="3"/>
      <c r="O191" s="3"/>
      <c r="P191" s="3"/>
      <c r="Q191" s="3"/>
      <c r="R191" s="3"/>
      <c r="S191" s="3"/>
      <c r="T191" s="6"/>
    </row>
    <row r="192" ht="12.75" customHeight="1">
      <c r="A192" s="39"/>
      <c r="B192" s="2"/>
      <c r="C192" s="2"/>
      <c r="D192" s="2"/>
      <c r="E192" s="2"/>
      <c r="F192" s="2"/>
      <c r="G192" s="2"/>
      <c r="H192" s="2"/>
      <c r="I192" s="3"/>
      <c r="J192" s="3"/>
      <c r="K192" s="3"/>
      <c r="L192" s="2"/>
      <c r="M192" s="3"/>
      <c r="N192" s="3"/>
      <c r="O192" s="3"/>
      <c r="P192" s="3"/>
      <c r="Q192" s="3"/>
      <c r="R192" s="3"/>
      <c r="S192" s="3"/>
      <c r="T192" s="6"/>
    </row>
    <row r="193" ht="12.75" customHeight="1">
      <c r="A193" s="39"/>
      <c r="B193" s="2"/>
      <c r="C193" s="2"/>
      <c r="D193" s="2"/>
      <c r="E193" s="2"/>
      <c r="F193" s="2"/>
      <c r="G193" s="2"/>
      <c r="H193" s="2"/>
      <c r="I193" s="3"/>
      <c r="J193" s="3"/>
      <c r="K193" s="3"/>
      <c r="L193" s="2"/>
      <c r="M193" s="3"/>
      <c r="N193" s="3"/>
      <c r="O193" s="3"/>
      <c r="P193" s="3"/>
      <c r="Q193" s="3"/>
      <c r="R193" s="3"/>
      <c r="S193" s="3"/>
      <c r="T193" s="6"/>
    </row>
    <row r="194" ht="12.75" customHeight="1">
      <c r="A194" s="39"/>
      <c r="B194" s="2"/>
      <c r="C194" s="2"/>
      <c r="D194" s="2"/>
      <c r="E194" s="2"/>
      <c r="F194" s="2"/>
      <c r="G194" s="2"/>
      <c r="H194" s="2"/>
      <c r="I194" s="3"/>
      <c r="J194" s="3"/>
      <c r="K194" s="3"/>
      <c r="L194" s="2"/>
      <c r="M194" s="3"/>
      <c r="N194" s="3"/>
      <c r="O194" s="3"/>
      <c r="P194" s="3"/>
      <c r="Q194" s="3"/>
      <c r="R194" s="3"/>
      <c r="S194" s="3"/>
      <c r="T194" s="6"/>
    </row>
    <row r="195" ht="12.75" customHeight="1">
      <c r="A195" s="39"/>
      <c r="B195" s="2"/>
      <c r="C195" s="2"/>
      <c r="D195" s="2"/>
      <c r="E195" s="2"/>
      <c r="F195" s="2"/>
      <c r="G195" s="2"/>
      <c r="H195" s="2"/>
      <c r="I195" s="3"/>
      <c r="J195" s="3"/>
      <c r="K195" s="3"/>
      <c r="L195" s="2"/>
      <c r="M195" s="3"/>
      <c r="N195" s="3"/>
      <c r="O195" s="3"/>
      <c r="P195" s="3"/>
      <c r="Q195" s="3"/>
      <c r="R195" s="3"/>
      <c r="S195" s="3"/>
      <c r="T195" s="6"/>
    </row>
    <row r="196" ht="12.75" customHeight="1">
      <c r="A196" s="39"/>
      <c r="B196" s="2"/>
      <c r="C196" s="2"/>
      <c r="D196" s="2"/>
      <c r="E196" s="2"/>
      <c r="F196" s="2"/>
      <c r="G196" s="2"/>
      <c r="H196" s="2"/>
      <c r="I196" s="3"/>
      <c r="J196" s="3"/>
      <c r="K196" s="3"/>
      <c r="L196" s="2"/>
      <c r="M196" s="3"/>
      <c r="N196" s="3"/>
      <c r="O196" s="3"/>
      <c r="P196" s="3"/>
      <c r="Q196" s="3"/>
      <c r="R196" s="3"/>
      <c r="S196" s="3"/>
      <c r="T196" s="6"/>
    </row>
    <row r="197" ht="12.75" customHeight="1">
      <c r="A197" s="39"/>
      <c r="B197" s="2"/>
      <c r="C197" s="2"/>
      <c r="D197" s="2"/>
      <c r="E197" s="2"/>
      <c r="F197" s="2"/>
      <c r="G197" s="2"/>
      <c r="H197" s="2"/>
      <c r="I197" s="3"/>
      <c r="J197" s="3"/>
      <c r="K197" s="3"/>
      <c r="L197" s="2"/>
      <c r="M197" s="3"/>
      <c r="N197" s="3"/>
      <c r="O197" s="3"/>
      <c r="P197" s="3"/>
      <c r="Q197" s="3"/>
      <c r="R197" s="3"/>
      <c r="S197" s="3"/>
      <c r="T197" s="6"/>
    </row>
    <row r="198" ht="12.75" customHeight="1">
      <c r="A198" s="39"/>
      <c r="B198" s="2"/>
      <c r="C198" s="2"/>
      <c r="D198" s="2"/>
      <c r="E198" s="2"/>
      <c r="F198" s="2"/>
      <c r="G198" s="2"/>
      <c r="H198" s="2"/>
      <c r="I198" s="3"/>
      <c r="J198" s="3"/>
      <c r="K198" s="3"/>
      <c r="L198" s="2"/>
      <c r="M198" s="3"/>
      <c r="N198" s="3"/>
      <c r="O198" s="3"/>
      <c r="P198" s="3"/>
      <c r="Q198" s="3"/>
      <c r="R198" s="3"/>
      <c r="S198" s="3"/>
      <c r="T198" s="6"/>
    </row>
    <row r="199" ht="12.75" customHeight="1">
      <c r="A199" s="39"/>
      <c r="B199" s="2"/>
      <c r="C199" s="2"/>
      <c r="D199" s="2"/>
      <c r="E199" s="2"/>
      <c r="F199" s="2"/>
      <c r="G199" s="2"/>
      <c r="H199" s="2"/>
      <c r="I199" s="3"/>
      <c r="J199" s="3"/>
      <c r="K199" s="3"/>
      <c r="L199" s="2"/>
      <c r="M199" s="3"/>
      <c r="N199" s="3"/>
      <c r="O199" s="3"/>
      <c r="P199" s="3"/>
      <c r="Q199" s="3"/>
      <c r="R199" s="3"/>
      <c r="S199" s="3"/>
      <c r="T199" s="6"/>
    </row>
    <row r="200" ht="12.75" customHeight="1">
      <c r="A200" s="39"/>
      <c r="B200" s="2"/>
      <c r="C200" s="2"/>
      <c r="D200" s="2"/>
      <c r="E200" s="2"/>
      <c r="F200" s="2"/>
      <c r="G200" s="2"/>
      <c r="H200" s="2"/>
      <c r="I200" s="3"/>
      <c r="J200" s="3"/>
      <c r="K200" s="3"/>
      <c r="L200" s="2"/>
      <c r="M200" s="3"/>
      <c r="N200" s="3"/>
      <c r="O200" s="3"/>
      <c r="P200" s="3"/>
      <c r="Q200" s="3"/>
      <c r="R200" s="3"/>
      <c r="S200" s="3"/>
      <c r="T200" s="6"/>
    </row>
    <row r="201" ht="12.75" customHeight="1">
      <c r="A201" s="39"/>
      <c r="B201" s="2"/>
      <c r="C201" s="2"/>
      <c r="D201" s="2"/>
      <c r="E201" s="2"/>
      <c r="F201" s="2"/>
      <c r="G201" s="2"/>
      <c r="H201" s="2"/>
      <c r="I201" s="3"/>
      <c r="J201" s="3"/>
      <c r="K201" s="3"/>
      <c r="L201" s="2"/>
      <c r="M201" s="3"/>
      <c r="N201" s="3"/>
      <c r="O201" s="3"/>
      <c r="P201" s="3"/>
      <c r="Q201" s="3"/>
      <c r="R201" s="3"/>
      <c r="S201" s="3"/>
      <c r="T201" s="6"/>
    </row>
    <row r="202" ht="12.75" customHeight="1">
      <c r="A202" s="39"/>
      <c r="B202" s="2"/>
      <c r="C202" s="2"/>
      <c r="D202" s="2"/>
      <c r="E202" s="2"/>
      <c r="F202" s="2"/>
      <c r="G202" s="2"/>
      <c r="H202" s="2"/>
      <c r="I202" s="3"/>
      <c r="J202" s="3"/>
      <c r="K202" s="3"/>
      <c r="L202" s="2"/>
      <c r="M202" s="3"/>
      <c r="N202" s="3"/>
      <c r="O202" s="3"/>
      <c r="P202" s="3"/>
      <c r="Q202" s="3"/>
      <c r="R202" s="3"/>
      <c r="S202" s="3"/>
      <c r="T202" s="6"/>
    </row>
    <row r="203" ht="12.75" customHeight="1">
      <c r="A203" s="39"/>
      <c r="B203" s="2"/>
      <c r="C203" s="2"/>
      <c r="D203" s="2"/>
      <c r="E203" s="2"/>
      <c r="F203" s="2"/>
      <c r="G203" s="2"/>
      <c r="H203" s="2"/>
      <c r="I203" s="3"/>
      <c r="J203" s="3"/>
      <c r="K203" s="3"/>
      <c r="L203" s="2"/>
      <c r="M203" s="3"/>
      <c r="N203" s="3"/>
      <c r="O203" s="3"/>
      <c r="P203" s="3"/>
      <c r="Q203" s="3"/>
      <c r="R203" s="3"/>
      <c r="S203" s="3"/>
      <c r="T203" s="6"/>
    </row>
    <row r="204" ht="12.75" customHeight="1">
      <c r="A204" s="39"/>
      <c r="B204" s="2"/>
      <c r="C204" s="2"/>
      <c r="D204" s="2"/>
      <c r="E204" s="2"/>
      <c r="F204" s="2"/>
      <c r="G204" s="2"/>
      <c r="H204" s="2"/>
      <c r="I204" s="3"/>
      <c r="J204" s="3"/>
      <c r="K204" s="3"/>
      <c r="L204" s="2"/>
      <c r="M204" s="3"/>
      <c r="N204" s="3"/>
      <c r="O204" s="3"/>
      <c r="P204" s="3"/>
      <c r="Q204" s="3"/>
      <c r="R204" s="3"/>
      <c r="S204" s="3"/>
      <c r="T204" s="6"/>
    </row>
    <row r="205" ht="12.75" customHeight="1">
      <c r="A205" s="39"/>
      <c r="B205" s="2"/>
      <c r="C205" s="2"/>
      <c r="D205" s="2"/>
      <c r="E205" s="2"/>
      <c r="F205" s="2"/>
      <c r="G205" s="2"/>
      <c r="H205" s="2"/>
      <c r="I205" s="3"/>
      <c r="J205" s="3"/>
      <c r="K205" s="3"/>
      <c r="L205" s="2"/>
      <c r="M205" s="3"/>
      <c r="N205" s="3"/>
      <c r="O205" s="3"/>
      <c r="P205" s="3"/>
      <c r="Q205" s="3"/>
      <c r="R205" s="3"/>
      <c r="S205" s="3"/>
      <c r="T205" s="6"/>
    </row>
    <row r="206" ht="12.75" customHeight="1">
      <c r="A206" s="39"/>
      <c r="B206" s="2"/>
      <c r="C206" s="2"/>
      <c r="D206" s="2"/>
      <c r="E206" s="2"/>
      <c r="F206" s="2"/>
      <c r="G206" s="2"/>
      <c r="H206" s="2"/>
      <c r="I206" s="3"/>
      <c r="J206" s="3"/>
      <c r="K206" s="3"/>
      <c r="L206" s="2"/>
      <c r="M206" s="3"/>
      <c r="N206" s="3"/>
      <c r="O206" s="3"/>
      <c r="P206" s="3"/>
      <c r="Q206" s="3"/>
      <c r="R206" s="3"/>
      <c r="S206" s="3"/>
      <c r="T206" s="6"/>
    </row>
    <row r="207" ht="12.75" customHeight="1">
      <c r="A207" s="39"/>
      <c r="B207" s="2"/>
      <c r="C207" s="2"/>
      <c r="D207" s="2"/>
      <c r="E207" s="2"/>
      <c r="F207" s="2"/>
      <c r="G207" s="2"/>
      <c r="H207" s="2"/>
      <c r="I207" s="3"/>
      <c r="J207" s="3"/>
      <c r="K207" s="3"/>
      <c r="L207" s="2"/>
      <c r="M207" s="3"/>
      <c r="N207" s="3"/>
      <c r="O207" s="3"/>
      <c r="P207" s="3"/>
      <c r="Q207" s="3"/>
      <c r="R207" s="3"/>
      <c r="S207" s="3"/>
      <c r="T207" s="6"/>
    </row>
    <row r="208" ht="12.75" customHeight="1">
      <c r="A208" s="39"/>
      <c r="B208" s="2"/>
      <c r="C208" s="2"/>
      <c r="D208" s="2"/>
      <c r="E208" s="2"/>
      <c r="F208" s="2"/>
      <c r="G208" s="2"/>
      <c r="H208" s="2"/>
      <c r="I208" s="3"/>
      <c r="J208" s="3"/>
      <c r="K208" s="3"/>
      <c r="L208" s="2"/>
      <c r="M208" s="3"/>
      <c r="N208" s="3"/>
      <c r="O208" s="3"/>
      <c r="P208" s="3"/>
      <c r="Q208" s="3"/>
      <c r="R208" s="3"/>
      <c r="S208" s="3"/>
      <c r="T208" s="6"/>
    </row>
    <row r="209" ht="12.75" customHeight="1">
      <c r="A209" s="39"/>
      <c r="B209" s="2"/>
      <c r="C209" s="2"/>
      <c r="D209" s="2"/>
      <c r="E209" s="2"/>
      <c r="F209" s="2"/>
      <c r="G209" s="2"/>
      <c r="H209" s="2"/>
      <c r="I209" s="3"/>
      <c r="J209" s="3"/>
      <c r="K209" s="3"/>
      <c r="L209" s="2"/>
      <c r="M209" s="3"/>
      <c r="N209" s="3"/>
      <c r="O209" s="3"/>
      <c r="P209" s="3"/>
      <c r="Q209" s="3"/>
      <c r="R209" s="3"/>
      <c r="S209" s="3"/>
      <c r="T209" s="6"/>
    </row>
    <row r="210" ht="12.75" customHeight="1">
      <c r="A210" s="39"/>
      <c r="B210" s="2"/>
      <c r="C210" s="2"/>
      <c r="D210" s="2"/>
      <c r="E210" s="2"/>
      <c r="F210" s="2"/>
      <c r="G210" s="2"/>
      <c r="H210" s="2"/>
      <c r="I210" s="3"/>
      <c r="J210" s="3"/>
      <c r="K210" s="3"/>
      <c r="L210" s="2"/>
      <c r="M210" s="3"/>
      <c r="N210" s="3"/>
      <c r="O210" s="3"/>
      <c r="P210" s="3"/>
      <c r="Q210" s="3"/>
      <c r="R210" s="3"/>
      <c r="S210" s="3"/>
      <c r="T210" s="6"/>
    </row>
    <row r="211" ht="12.75" customHeight="1">
      <c r="A211" s="39"/>
      <c r="B211" s="2"/>
      <c r="C211" s="2"/>
      <c r="D211" s="2"/>
      <c r="E211" s="2"/>
      <c r="F211" s="2"/>
      <c r="G211" s="2"/>
      <c r="H211" s="2"/>
      <c r="I211" s="3"/>
      <c r="J211" s="3"/>
      <c r="K211" s="3"/>
      <c r="L211" s="2"/>
      <c r="M211" s="3"/>
      <c r="N211" s="3"/>
      <c r="O211" s="3"/>
      <c r="P211" s="3"/>
      <c r="Q211" s="3"/>
      <c r="R211" s="3"/>
      <c r="S211" s="3"/>
      <c r="T211" s="6"/>
    </row>
    <row r="212" ht="12.75" customHeight="1">
      <c r="A212" s="39"/>
      <c r="B212" s="2"/>
      <c r="C212" s="2"/>
      <c r="D212" s="2"/>
      <c r="E212" s="2"/>
      <c r="F212" s="2"/>
      <c r="G212" s="2"/>
      <c r="H212" s="2"/>
      <c r="I212" s="3"/>
      <c r="J212" s="3"/>
      <c r="K212" s="3"/>
      <c r="L212" s="2"/>
      <c r="M212" s="3"/>
      <c r="N212" s="3"/>
      <c r="O212" s="3"/>
      <c r="P212" s="3"/>
      <c r="Q212" s="3"/>
      <c r="R212" s="3"/>
      <c r="S212" s="3"/>
      <c r="T212" s="6"/>
    </row>
    <row r="213" ht="12.75" customHeight="1">
      <c r="A213" s="39"/>
      <c r="B213" s="2"/>
      <c r="C213" s="2"/>
      <c r="D213" s="2"/>
      <c r="E213" s="2"/>
      <c r="F213" s="2"/>
      <c r="G213" s="2"/>
      <c r="H213" s="2"/>
      <c r="I213" s="3"/>
      <c r="J213" s="3"/>
      <c r="K213" s="3"/>
      <c r="L213" s="2"/>
      <c r="M213" s="3"/>
      <c r="N213" s="3"/>
      <c r="O213" s="3"/>
      <c r="P213" s="3"/>
      <c r="Q213" s="3"/>
      <c r="R213" s="3"/>
      <c r="S213" s="3"/>
      <c r="T213" s="6"/>
    </row>
    <row r="214" ht="12.75" customHeight="1">
      <c r="A214" s="39"/>
      <c r="B214" s="2"/>
      <c r="C214" s="2"/>
      <c r="D214" s="2"/>
      <c r="E214" s="2"/>
      <c r="F214" s="2"/>
      <c r="G214" s="2"/>
      <c r="H214" s="2"/>
      <c r="I214" s="3"/>
      <c r="J214" s="3"/>
      <c r="K214" s="3"/>
      <c r="L214" s="2"/>
      <c r="M214" s="3"/>
      <c r="N214" s="3"/>
      <c r="O214" s="3"/>
      <c r="P214" s="3"/>
      <c r="Q214" s="3"/>
      <c r="R214" s="3"/>
      <c r="S214" s="3"/>
      <c r="T214" s="6"/>
    </row>
    <row r="215" ht="12.75" customHeight="1">
      <c r="A215" s="39"/>
      <c r="B215" s="2"/>
      <c r="C215" s="2"/>
      <c r="D215" s="2"/>
      <c r="E215" s="2"/>
      <c r="F215" s="2"/>
      <c r="G215" s="2"/>
      <c r="H215" s="2"/>
      <c r="I215" s="3"/>
      <c r="J215" s="3"/>
      <c r="K215" s="3"/>
      <c r="L215" s="2"/>
      <c r="M215" s="3"/>
      <c r="N215" s="3"/>
      <c r="O215" s="3"/>
      <c r="P215" s="3"/>
      <c r="Q215" s="3"/>
      <c r="R215" s="3"/>
      <c r="S215" s="3"/>
      <c r="T215" s="6"/>
    </row>
    <row r="216" ht="12.75" customHeight="1">
      <c r="A216" s="39"/>
      <c r="B216" s="2"/>
      <c r="C216" s="2"/>
      <c r="D216" s="2"/>
      <c r="E216" s="2"/>
      <c r="F216" s="2"/>
      <c r="G216" s="2"/>
      <c r="H216" s="2"/>
      <c r="I216" s="3"/>
      <c r="J216" s="3"/>
      <c r="K216" s="3"/>
      <c r="L216" s="2"/>
      <c r="M216" s="3"/>
      <c r="N216" s="3"/>
      <c r="O216" s="3"/>
      <c r="P216" s="3"/>
      <c r="Q216" s="3"/>
      <c r="R216" s="3"/>
      <c r="S216" s="3"/>
      <c r="T216" s="6"/>
    </row>
    <row r="217" ht="12.75" customHeight="1">
      <c r="A217" s="39"/>
      <c r="B217" s="2"/>
      <c r="C217" s="2"/>
      <c r="D217" s="2"/>
      <c r="E217" s="2"/>
      <c r="F217" s="2"/>
      <c r="G217" s="2"/>
      <c r="H217" s="2"/>
      <c r="I217" s="3"/>
      <c r="J217" s="3"/>
      <c r="K217" s="3"/>
      <c r="L217" s="2"/>
      <c r="M217" s="3"/>
      <c r="N217" s="3"/>
      <c r="O217" s="3"/>
      <c r="P217" s="3"/>
      <c r="Q217" s="3"/>
      <c r="R217" s="3"/>
      <c r="S217" s="3"/>
      <c r="T217" s="6"/>
    </row>
    <row r="218" ht="12.75" customHeight="1">
      <c r="A218" s="39"/>
      <c r="B218" s="2"/>
      <c r="C218" s="2"/>
      <c r="D218" s="2"/>
      <c r="E218" s="2"/>
      <c r="F218" s="2"/>
      <c r="G218" s="2"/>
      <c r="H218" s="2"/>
      <c r="I218" s="3"/>
      <c r="J218" s="3"/>
      <c r="K218" s="3"/>
      <c r="L218" s="2"/>
      <c r="M218" s="3"/>
      <c r="N218" s="3"/>
      <c r="O218" s="3"/>
      <c r="P218" s="3"/>
      <c r="Q218" s="3"/>
      <c r="R218" s="3"/>
      <c r="S218" s="3"/>
      <c r="T218" s="6"/>
    </row>
    <row r="219" ht="12.75" customHeight="1">
      <c r="A219" s="39"/>
      <c r="B219" s="2"/>
      <c r="C219" s="2"/>
      <c r="D219" s="2"/>
      <c r="E219" s="2"/>
      <c r="F219" s="2"/>
      <c r="G219" s="2"/>
      <c r="H219" s="2"/>
      <c r="I219" s="3"/>
      <c r="J219" s="3"/>
      <c r="K219" s="3"/>
      <c r="L219" s="2"/>
      <c r="M219" s="3"/>
      <c r="N219" s="3"/>
      <c r="O219" s="3"/>
      <c r="P219" s="3"/>
      <c r="Q219" s="3"/>
      <c r="R219" s="3"/>
      <c r="S219" s="3"/>
      <c r="T219" s="6"/>
    </row>
    <row r="220" ht="12.75" customHeight="1">
      <c r="A220" s="39"/>
      <c r="B220" s="2"/>
      <c r="C220" s="2"/>
      <c r="D220" s="2"/>
      <c r="E220" s="2"/>
      <c r="F220" s="2"/>
      <c r="G220" s="2"/>
      <c r="H220" s="2"/>
      <c r="I220" s="3"/>
      <c r="J220" s="3"/>
      <c r="K220" s="3"/>
      <c r="L220" s="2"/>
      <c r="M220" s="3"/>
      <c r="N220" s="3"/>
      <c r="O220" s="3"/>
      <c r="P220" s="3"/>
      <c r="Q220" s="3"/>
      <c r="R220" s="3"/>
      <c r="S220" s="3"/>
      <c r="T220" s="6"/>
    </row>
    <row r="221" ht="12.75" customHeight="1">
      <c r="A221" s="39"/>
      <c r="B221" s="2"/>
      <c r="C221" s="2"/>
      <c r="D221" s="2"/>
      <c r="E221" s="2"/>
      <c r="F221" s="2"/>
      <c r="G221" s="2"/>
      <c r="H221" s="2"/>
      <c r="I221" s="3"/>
      <c r="J221" s="3"/>
      <c r="K221" s="3"/>
      <c r="L221" s="2"/>
      <c r="M221" s="3"/>
      <c r="N221" s="3"/>
      <c r="O221" s="3"/>
      <c r="P221" s="3"/>
      <c r="Q221" s="3"/>
      <c r="R221" s="3"/>
      <c r="S221" s="3"/>
      <c r="T221" s="6"/>
    </row>
    <row r="222" ht="12.75" customHeight="1">
      <c r="A222" s="39"/>
      <c r="B222" s="2"/>
      <c r="C222" s="2"/>
      <c r="D222" s="2"/>
      <c r="E222" s="2"/>
      <c r="F222" s="2"/>
      <c r="G222" s="2"/>
      <c r="H222" s="2"/>
      <c r="I222" s="3"/>
      <c r="J222" s="3"/>
      <c r="K222" s="3"/>
      <c r="L222" s="2"/>
      <c r="M222" s="3"/>
      <c r="N222" s="3"/>
      <c r="O222" s="3"/>
      <c r="P222" s="3"/>
      <c r="Q222" s="3"/>
      <c r="R222" s="3"/>
      <c r="S222" s="3"/>
      <c r="T222" s="6"/>
    </row>
    <row r="223" ht="12.75" customHeight="1">
      <c r="A223" s="39"/>
      <c r="B223" s="2"/>
      <c r="C223" s="2"/>
      <c r="D223" s="2"/>
      <c r="E223" s="2"/>
      <c r="F223" s="2"/>
      <c r="G223" s="2"/>
      <c r="H223" s="2"/>
      <c r="I223" s="3"/>
      <c r="J223" s="3"/>
      <c r="K223" s="3"/>
      <c r="L223" s="2"/>
      <c r="M223" s="3"/>
      <c r="N223" s="3"/>
      <c r="O223" s="3"/>
      <c r="P223" s="3"/>
      <c r="Q223" s="3"/>
      <c r="R223" s="3"/>
      <c r="S223" s="3"/>
      <c r="T223" s="6"/>
    </row>
    <row r="224" ht="12.75" customHeight="1">
      <c r="A224" s="39"/>
      <c r="B224" s="2"/>
      <c r="C224" s="2"/>
      <c r="D224" s="2"/>
      <c r="E224" s="2"/>
      <c r="F224" s="2"/>
      <c r="G224" s="2"/>
      <c r="H224" s="2"/>
      <c r="I224" s="3"/>
      <c r="J224" s="3"/>
      <c r="K224" s="3"/>
      <c r="L224" s="2"/>
      <c r="M224" s="3"/>
      <c r="N224" s="3"/>
      <c r="O224" s="3"/>
      <c r="P224" s="3"/>
      <c r="Q224" s="3"/>
      <c r="R224" s="3"/>
      <c r="S224" s="3"/>
      <c r="T224" s="6"/>
    </row>
    <row r="225" ht="12.75" customHeight="1">
      <c r="A225" s="39"/>
      <c r="B225" s="2"/>
      <c r="C225" s="2"/>
      <c r="D225" s="2"/>
      <c r="E225" s="2"/>
      <c r="F225" s="2"/>
      <c r="G225" s="2"/>
      <c r="H225" s="2"/>
      <c r="I225" s="3"/>
      <c r="J225" s="3"/>
      <c r="K225" s="3"/>
      <c r="L225" s="2"/>
      <c r="M225" s="3"/>
      <c r="N225" s="3"/>
      <c r="O225" s="3"/>
      <c r="P225" s="3"/>
      <c r="Q225" s="3"/>
      <c r="R225" s="3"/>
      <c r="S225" s="3"/>
      <c r="T225" s="6"/>
    </row>
    <row r="226" ht="12.75" customHeight="1">
      <c r="A226" s="39"/>
      <c r="B226" s="2"/>
      <c r="C226" s="2"/>
      <c r="D226" s="2"/>
      <c r="E226" s="2"/>
      <c r="F226" s="2"/>
      <c r="G226" s="2"/>
      <c r="H226" s="2"/>
      <c r="I226" s="3"/>
      <c r="J226" s="3"/>
      <c r="K226" s="3"/>
      <c r="L226" s="2"/>
      <c r="M226" s="3"/>
      <c r="N226" s="3"/>
      <c r="O226" s="3"/>
      <c r="P226" s="3"/>
      <c r="Q226" s="3"/>
      <c r="R226" s="3"/>
      <c r="S226" s="3"/>
      <c r="T226" s="6"/>
    </row>
    <row r="227" ht="12.75" customHeight="1">
      <c r="A227" s="39"/>
      <c r="B227" s="2"/>
      <c r="C227" s="2"/>
      <c r="D227" s="2"/>
      <c r="E227" s="2"/>
      <c r="F227" s="2"/>
      <c r="G227" s="2"/>
      <c r="H227" s="2"/>
      <c r="I227" s="3"/>
      <c r="J227" s="3"/>
      <c r="K227" s="3"/>
      <c r="L227" s="2"/>
      <c r="M227" s="3"/>
      <c r="N227" s="3"/>
      <c r="O227" s="3"/>
      <c r="P227" s="3"/>
      <c r="Q227" s="3"/>
      <c r="R227" s="3"/>
      <c r="S227" s="3"/>
      <c r="T227" s="6"/>
    </row>
    <row r="228" ht="12.75" customHeight="1">
      <c r="A228" s="39"/>
      <c r="B228" s="2"/>
      <c r="C228" s="2"/>
      <c r="D228" s="2"/>
      <c r="E228" s="2"/>
      <c r="F228" s="2"/>
      <c r="G228" s="2"/>
      <c r="H228" s="2"/>
      <c r="I228" s="3"/>
      <c r="J228" s="3"/>
      <c r="K228" s="3"/>
      <c r="L228" s="2"/>
      <c r="M228" s="3"/>
      <c r="N228" s="3"/>
      <c r="O228" s="3"/>
      <c r="P228" s="3"/>
      <c r="Q228" s="3"/>
      <c r="R228" s="3"/>
      <c r="S228" s="3"/>
      <c r="T228" s="6"/>
    </row>
    <row r="229" ht="12.75" customHeight="1">
      <c r="A229" s="39"/>
      <c r="B229" s="2"/>
      <c r="C229" s="2"/>
      <c r="D229" s="2"/>
      <c r="E229" s="2"/>
      <c r="F229" s="2"/>
      <c r="G229" s="2"/>
      <c r="H229" s="2"/>
      <c r="I229" s="3"/>
      <c r="J229" s="3"/>
      <c r="K229" s="3"/>
      <c r="L229" s="2"/>
      <c r="M229" s="3"/>
      <c r="N229" s="3"/>
      <c r="O229" s="3"/>
      <c r="P229" s="3"/>
      <c r="Q229" s="3"/>
      <c r="R229" s="3"/>
      <c r="S229" s="3"/>
      <c r="T229" s="6"/>
    </row>
    <row r="230" ht="12.75" customHeight="1">
      <c r="A230" s="39"/>
      <c r="B230" s="2"/>
      <c r="C230" s="2"/>
      <c r="D230" s="2"/>
      <c r="E230" s="2"/>
      <c r="F230" s="2"/>
      <c r="G230" s="2"/>
      <c r="H230" s="2"/>
      <c r="I230" s="3"/>
      <c r="J230" s="3"/>
      <c r="K230" s="3"/>
      <c r="L230" s="2"/>
      <c r="M230" s="3"/>
      <c r="N230" s="3"/>
      <c r="O230" s="3"/>
      <c r="P230" s="3"/>
      <c r="Q230" s="3"/>
      <c r="R230" s="3"/>
      <c r="S230" s="3"/>
      <c r="T230" s="6"/>
    </row>
    <row r="231" ht="12.75" customHeight="1">
      <c r="A231" s="39"/>
      <c r="B231" s="2"/>
      <c r="C231" s="2"/>
      <c r="D231" s="2"/>
      <c r="E231" s="2"/>
      <c r="F231" s="2"/>
      <c r="G231" s="2"/>
      <c r="H231" s="2"/>
      <c r="I231" s="3"/>
      <c r="J231" s="3"/>
      <c r="K231" s="3"/>
      <c r="L231" s="2"/>
      <c r="M231" s="3"/>
      <c r="N231" s="3"/>
      <c r="O231" s="3"/>
      <c r="P231" s="3"/>
      <c r="Q231" s="3"/>
      <c r="R231" s="3"/>
      <c r="S231" s="3"/>
      <c r="T231" s="6"/>
    </row>
    <row r="232" ht="12.75" customHeight="1">
      <c r="A232" s="39"/>
      <c r="B232" s="2"/>
      <c r="C232" s="2"/>
      <c r="D232" s="2"/>
      <c r="E232" s="2"/>
      <c r="F232" s="2"/>
      <c r="G232" s="2"/>
      <c r="H232" s="2"/>
      <c r="I232" s="3"/>
      <c r="J232" s="3"/>
      <c r="K232" s="3"/>
      <c r="L232" s="2"/>
      <c r="M232" s="3"/>
      <c r="N232" s="3"/>
      <c r="O232" s="3"/>
      <c r="P232" s="3"/>
      <c r="Q232" s="3"/>
      <c r="R232" s="3"/>
      <c r="S232" s="3"/>
      <c r="T232" s="6"/>
    </row>
    <row r="233" ht="12.75" customHeight="1">
      <c r="A233" s="39"/>
      <c r="B233" s="2"/>
      <c r="C233" s="2"/>
      <c r="D233" s="2"/>
      <c r="E233" s="2"/>
      <c r="F233" s="2"/>
      <c r="G233" s="2"/>
      <c r="H233" s="2"/>
      <c r="I233" s="3"/>
      <c r="J233" s="3"/>
      <c r="K233" s="3"/>
      <c r="L233" s="2"/>
      <c r="M233" s="3"/>
      <c r="N233" s="3"/>
      <c r="O233" s="3"/>
      <c r="P233" s="3"/>
      <c r="Q233" s="3"/>
      <c r="R233" s="3"/>
      <c r="S233" s="3"/>
      <c r="T233" s="6"/>
    </row>
    <row r="234" ht="12.75" customHeight="1">
      <c r="A234" s="39"/>
      <c r="B234" s="2"/>
      <c r="C234" s="2"/>
      <c r="D234" s="2"/>
      <c r="E234" s="2"/>
      <c r="F234" s="2"/>
      <c r="G234" s="2"/>
      <c r="H234" s="2"/>
      <c r="I234" s="3"/>
      <c r="J234" s="3"/>
      <c r="K234" s="3"/>
      <c r="L234" s="2"/>
      <c r="M234" s="3"/>
      <c r="N234" s="3"/>
      <c r="O234" s="3"/>
      <c r="P234" s="3"/>
      <c r="Q234" s="3"/>
      <c r="R234" s="3"/>
      <c r="S234" s="3"/>
      <c r="T234" s="6"/>
    </row>
    <row r="235" ht="12.75" customHeight="1">
      <c r="A235" s="39"/>
      <c r="B235" s="2"/>
      <c r="C235" s="2"/>
      <c r="D235" s="2"/>
      <c r="E235" s="2"/>
      <c r="F235" s="2"/>
      <c r="G235" s="2"/>
      <c r="H235" s="2"/>
      <c r="I235" s="3"/>
      <c r="J235" s="3"/>
      <c r="K235" s="3"/>
      <c r="L235" s="2"/>
      <c r="M235" s="3"/>
      <c r="N235" s="3"/>
      <c r="O235" s="3"/>
      <c r="P235" s="3"/>
      <c r="Q235" s="3"/>
      <c r="R235" s="3"/>
      <c r="S235" s="3"/>
      <c r="T235" s="6"/>
    </row>
    <row r="236" ht="12.75" customHeight="1">
      <c r="A236" s="39"/>
      <c r="B236" s="2"/>
      <c r="C236" s="2"/>
      <c r="D236" s="2"/>
      <c r="E236" s="2"/>
      <c r="F236" s="2"/>
      <c r="G236" s="2"/>
      <c r="H236" s="2"/>
      <c r="I236" s="3"/>
      <c r="J236" s="3"/>
      <c r="K236" s="3"/>
      <c r="L236" s="2"/>
      <c r="M236" s="3"/>
      <c r="N236" s="3"/>
      <c r="O236" s="3"/>
      <c r="P236" s="3"/>
      <c r="Q236" s="3"/>
      <c r="R236" s="3"/>
      <c r="S236" s="3"/>
      <c r="T236" s="6"/>
    </row>
    <row r="237" ht="12.75" customHeight="1">
      <c r="A237" s="39"/>
      <c r="B237" s="2"/>
      <c r="C237" s="2"/>
      <c r="D237" s="2"/>
      <c r="E237" s="2"/>
      <c r="F237" s="2"/>
      <c r="G237" s="2"/>
      <c r="H237" s="2"/>
      <c r="I237" s="3"/>
      <c r="J237" s="3"/>
      <c r="K237" s="3"/>
      <c r="L237" s="2"/>
      <c r="M237" s="3"/>
      <c r="N237" s="3"/>
      <c r="O237" s="3"/>
      <c r="P237" s="3"/>
      <c r="Q237" s="3"/>
      <c r="R237" s="3"/>
      <c r="S237" s="3"/>
      <c r="T237" s="6"/>
    </row>
    <row r="238" ht="12.75" customHeight="1">
      <c r="A238" s="39"/>
      <c r="B238" s="2"/>
      <c r="C238" s="2"/>
      <c r="D238" s="2"/>
      <c r="E238" s="2"/>
      <c r="F238" s="2"/>
      <c r="G238" s="2"/>
      <c r="H238" s="2"/>
      <c r="I238" s="3"/>
      <c r="J238" s="3"/>
      <c r="K238" s="3"/>
      <c r="L238" s="2"/>
      <c r="M238" s="3"/>
      <c r="N238" s="3"/>
      <c r="O238" s="3"/>
      <c r="P238" s="3"/>
      <c r="Q238" s="3"/>
      <c r="R238" s="3"/>
      <c r="S238" s="3"/>
      <c r="T238" s="6"/>
    </row>
    <row r="239" ht="12.75" customHeight="1">
      <c r="A239" s="39"/>
      <c r="B239" s="2"/>
      <c r="C239" s="2"/>
      <c r="D239" s="2"/>
      <c r="E239" s="2"/>
      <c r="F239" s="2"/>
      <c r="G239" s="2"/>
      <c r="H239" s="2"/>
      <c r="I239" s="3"/>
      <c r="J239" s="3"/>
      <c r="K239" s="3"/>
      <c r="L239" s="2"/>
      <c r="M239" s="3"/>
      <c r="N239" s="3"/>
      <c r="O239" s="3"/>
      <c r="P239" s="3"/>
      <c r="Q239" s="3"/>
      <c r="R239" s="3"/>
      <c r="S239" s="3"/>
      <c r="T239" s="6"/>
    </row>
    <row r="240" ht="12.75" customHeight="1">
      <c r="A240" s="39"/>
      <c r="B240" s="2"/>
      <c r="C240" s="2"/>
      <c r="D240" s="2"/>
      <c r="E240" s="2"/>
      <c r="F240" s="2"/>
      <c r="G240" s="2"/>
      <c r="H240" s="2"/>
      <c r="I240" s="3"/>
      <c r="J240" s="3"/>
      <c r="K240" s="3"/>
      <c r="L240" s="2"/>
      <c r="M240" s="3"/>
      <c r="N240" s="3"/>
      <c r="O240" s="3"/>
      <c r="P240" s="3"/>
      <c r="Q240" s="3"/>
      <c r="R240" s="3"/>
      <c r="S240" s="3"/>
      <c r="T240" s="6"/>
    </row>
    <row r="241" ht="12.75" customHeight="1">
      <c r="A241" s="39"/>
      <c r="B241" s="2"/>
      <c r="C241" s="2"/>
      <c r="D241" s="2"/>
      <c r="E241" s="2"/>
      <c r="F241" s="2"/>
      <c r="G241" s="2"/>
      <c r="H241" s="2"/>
      <c r="I241" s="3"/>
      <c r="J241" s="3"/>
      <c r="K241" s="3"/>
      <c r="L241" s="2"/>
      <c r="M241" s="3"/>
      <c r="N241" s="3"/>
      <c r="O241" s="3"/>
      <c r="P241" s="3"/>
      <c r="Q241" s="3"/>
      <c r="R241" s="3"/>
      <c r="S241" s="3"/>
      <c r="T241" s="6"/>
    </row>
    <row r="242" ht="12.75" customHeight="1">
      <c r="A242" s="39"/>
      <c r="B242" s="2"/>
      <c r="C242" s="2"/>
      <c r="D242" s="2"/>
      <c r="E242" s="2"/>
      <c r="F242" s="2"/>
      <c r="G242" s="2"/>
      <c r="H242" s="2"/>
      <c r="I242" s="3"/>
      <c r="J242" s="3"/>
      <c r="K242" s="3"/>
      <c r="L242" s="2"/>
      <c r="M242" s="3"/>
      <c r="N242" s="3"/>
      <c r="O242" s="3"/>
      <c r="P242" s="3"/>
      <c r="Q242" s="3"/>
      <c r="R242" s="3"/>
      <c r="S242" s="3"/>
      <c r="T242" s="6"/>
    </row>
    <row r="243" ht="12.75" customHeight="1">
      <c r="A243" s="39"/>
      <c r="B243" s="2"/>
      <c r="C243" s="2"/>
      <c r="D243" s="2"/>
      <c r="E243" s="2"/>
      <c r="F243" s="2"/>
      <c r="G243" s="2"/>
      <c r="H243" s="2"/>
      <c r="I243" s="3"/>
      <c r="J243" s="3"/>
      <c r="K243" s="3"/>
      <c r="L243" s="2"/>
      <c r="M243" s="3"/>
      <c r="N243" s="3"/>
      <c r="O243" s="3"/>
      <c r="P243" s="3"/>
      <c r="Q243" s="3"/>
      <c r="R243" s="3"/>
      <c r="S243" s="3"/>
      <c r="T243" s="6"/>
    </row>
    <row r="244" ht="12.75" customHeight="1">
      <c r="A244" s="39"/>
      <c r="B244" s="2"/>
      <c r="C244" s="2"/>
      <c r="D244" s="2"/>
      <c r="E244" s="2"/>
      <c r="F244" s="2"/>
      <c r="G244" s="2"/>
      <c r="H244" s="2"/>
      <c r="I244" s="3"/>
      <c r="J244" s="3"/>
      <c r="K244" s="3"/>
      <c r="L244" s="2"/>
      <c r="M244" s="3"/>
      <c r="N244" s="3"/>
      <c r="O244" s="3"/>
      <c r="P244" s="3"/>
      <c r="Q244" s="3"/>
      <c r="R244" s="3"/>
      <c r="S244" s="3"/>
      <c r="T244" s="6"/>
    </row>
    <row r="245" ht="12.75" customHeight="1">
      <c r="A245" s="39"/>
      <c r="B245" s="2"/>
      <c r="C245" s="2"/>
      <c r="D245" s="2"/>
      <c r="E245" s="2"/>
      <c r="F245" s="2"/>
      <c r="G245" s="2"/>
      <c r="H245" s="2"/>
      <c r="I245" s="3"/>
      <c r="J245" s="3"/>
      <c r="K245" s="3"/>
      <c r="L245" s="2"/>
      <c r="M245" s="3"/>
      <c r="N245" s="3"/>
      <c r="O245" s="3"/>
      <c r="P245" s="3"/>
      <c r="Q245" s="3"/>
      <c r="R245" s="3"/>
      <c r="S245" s="3"/>
      <c r="T245" s="6"/>
    </row>
    <row r="246" ht="12.75" customHeight="1">
      <c r="A246" s="39"/>
      <c r="B246" s="2"/>
      <c r="C246" s="2"/>
      <c r="D246" s="2"/>
      <c r="E246" s="2"/>
      <c r="F246" s="2"/>
      <c r="G246" s="2"/>
      <c r="H246" s="2"/>
      <c r="I246" s="3"/>
      <c r="J246" s="3"/>
      <c r="K246" s="3"/>
      <c r="L246" s="2"/>
      <c r="M246" s="3"/>
      <c r="N246" s="3"/>
      <c r="O246" s="3"/>
      <c r="P246" s="3"/>
      <c r="Q246" s="3"/>
      <c r="R246" s="3"/>
      <c r="S246" s="3"/>
      <c r="T246" s="6"/>
    </row>
    <row r="247" ht="12.75" customHeight="1">
      <c r="A247" s="39"/>
      <c r="B247" s="2"/>
      <c r="C247" s="2"/>
      <c r="D247" s="2"/>
      <c r="E247" s="2"/>
      <c r="F247" s="2"/>
      <c r="G247" s="2"/>
      <c r="H247" s="2"/>
      <c r="I247" s="3"/>
      <c r="J247" s="3"/>
      <c r="K247" s="3"/>
      <c r="L247" s="2"/>
      <c r="M247" s="3"/>
      <c r="N247" s="3"/>
      <c r="O247" s="3"/>
      <c r="P247" s="3"/>
      <c r="Q247" s="3"/>
      <c r="R247" s="3"/>
      <c r="S247" s="3"/>
      <c r="T247" s="6"/>
    </row>
    <row r="248" ht="12.75" customHeight="1">
      <c r="A248" s="39"/>
      <c r="B248" s="2"/>
      <c r="C248" s="2"/>
      <c r="D248" s="2"/>
      <c r="E248" s="2"/>
      <c r="F248" s="2"/>
      <c r="G248" s="2"/>
      <c r="H248" s="2"/>
      <c r="I248" s="3"/>
      <c r="J248" s="3"/>
      <c r="K248" s="3"/>
      <c r="L248" s="2"/>
      <c r="M248" s="3"/>
      <c r="N248" s="3"/>
      <c r="O248" s="3"/>
      <c r="P248" s="3"/>
      <c r="Q248" s="3"/>
      <c r="R248" s="3"/>
      <c r="S248" s="3"/>
      <c r="T248" s="6"/>
    </row>
    <row r="249" ht="12.75" customHeight="1">
      <c r="A249" s="39"/>
      <c r="B249" s="2"/>
      <c r="C249" s="2"/>
      <c r="D249" s="2"/>
      <c r="E249" s="2"/>
      <c r="F249" s="2"/>
      <c r="G249" s="2"/>
      <c r="H249" s="2"/>
      <c r="I249" s="3"/>
      <c r="J249" s="3"/>
      <c r="K249" s="3"/>
      <c r="L249" s="2"/>
      <c r="M249" s="3"/>
      <c r="N249" s="3"/>
      <c r="O249" s="3"/>
      <c r="P249" s="3"/>
      <c r="Q249" s="3"/>
      <c r="R249" s="3"/>
      <c r="S249" s="3"/>
      <c r="T249" s="6"/>
    </row>
    <row r="250" ht="12.75" customHeight="1">
      <c r="A250" s="39"/>
      <c r="B250" s="2"/>
      <c r="C250" s="2"/>
      <c r="D250" s="2"/>
      <c r="E250" s="2"/>
      <c r="F250" s="2"/>
      <c r="G250" s="2"/>
      <c r="H250" s="2"/>
      <c r="I250" s="3"/>
      <c r="J250" s="3"/>
      <c r="K250" s="3"/>
      <c r="L250" s="2"/>
      <c r="M250" s="3"/>
      <c r="N250" s="3"/>
      <c r="O250" s="3"/>
      <c r="P250" s="3"/>
      <c r="Q250" s="3"/>
      <c r="R250" s="3"/>
      <c r="S250" s="3"/>
      <c r="T250" s="6"/>
    </row>
    <row r="251" ht="12.75" customHeight="1">
      <c r="A251" s="39"/>
      <c r="B251" s="2"/>
      <c r="C251" s="2"/>
      <c r="D251" s="2"/>
      <c r="E251" s="2"/>
      <c r="F251" s="2"/>
      <c r="G251" s="2"/>
      <c r="H251" s="2"/>
      <c r="I251" s="3"/>
      <c r="J251" s="3"/>
      <c r="K251" s="3"/>
      <c r="L251" s="2"/>
      <c r="M251" s="3"/>
      <c r="N251" s="3"/>
      <c r="O251" s="3"/>
      <c r="P251" s="3"/>
      <c r="Q251" s="3"/>
      <c r="R251" s="3"/>
      <c r="S251" s="3"/>
      <c r="T251" s="6"/>
    </row>
    <row r="252" ht="12.75" customHeight="1">
      <c r="A252" s="39"/>
      <c r="B252" s="2"/>
      <c r="C252" s="2"/>
      <c r="D252" s="2"/>
      <c r="E252" s="2"/>
      <c r="F252" s="2"/>
      <c r="G252" s="2"/>
      <c r="H252" s="2"/>
      <c r="I252" s="3"/>
      <c r="J252" s="3"/>
      <c r="K252" s="3"/>
      <c r="L252" s="2"/>
      <c r="M252" s="3"/>
      <c r="N252" s="3"/>
      <c r="O252" s="3"/>
      <c r="P252" s="3"/>
      <c r="Q252" s="3"/>
      <c r="R252" s="3"/>
      <c r="S252" s="3"/>
      <c r="T252" s="6"/>
    </row>
    <row r="253" ht="12.75" customHeight="1">
      <c r="A253" s="39"/>
      <c r="B253" s="2"/>
      <c r="C253" s="2"/>
      <c r="D253" s="2"/>
      <c r="E253" s="2"/>
      <c r="F253" s="2"/>
      <c r="G253" s="2"/>
      <c r="H253" s="2"/>
      <c r="I253" s="3"/>
      <c r="J253" s="3"/>
      <c r="K253" s="3"/>
      <c r="L253" s="2"/>
      <c r="M253" s="3"/>
      <c r="N253" s="3"/>
      <c r="O253" s="3"/>
      <c r="P253" s="3"/>
      <c r="Q253" s="3"/>
      <c r="R253" s="3"/>
      <c r="S253" s="3"/>
      <c r="T253" s="6"/>
    </row>
    <row r="254" ht="12.75" customHeight="1">
      <c r="A254" s="39"/>
      <c r="B254" s="2"/>
      <c r="C254" s="2"/>
      <c r="D254" s="2"/>
      <c r="E254" s="2"/>
      <c r="F254" s="2"/>
      <c r="G254" s="2"/>
      <c r="H254" s="2"/>
      <c r="I254" s="3"/>
      <c r="J254" s="3"/>
      <c r="K254" s="3"/>
      <c r="L254" s="2"/>
      <c r="M254" s="3"/>
      <c r="N254" s="3"/>
      <c r="O254" s="3"/>
      <c r="P254" s="3"/>
      <c r="Q254" s="3"/>
      <c r="R254" s="3"/>
      <c r="S254" s="3"/>
      <c r="T254" s="6"/>
    </row>
    <row r="255" ht="14.25" customHeight="1">
      <c r="A255" s="63"/>
      <c r="B255" s="53"/>
      <c r="C255" s="53"/>
      <c r="D255" s="53"/>
      <c r="E255" s="53"/>
      <c r="F255" s="3"/>
      <c r="G255" s="3"/>
      <c r="H255" s="3"/>
      <c r="I255" s="3"/>
      <c r="J255" s="3"/>
      <c r="K255" s="3"/>
      <c r="L255" s="53"/>
      <c r="M255" s="3"/>
      <c r="N255" s="3"/>
      <c r="O255" s="3"/>
      <c r="P255" s="3"/>
      <c r="Q255" s="3"/>
      <c r="R255" s="3"/>
      <c r="S255" s="3"/>
      <c r="T255" s="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9.0"/>
    <col customWidth="1" min="3" max="3" width="27.43"/>
    <col customWidth="1" min="4" max="4" width="22.71"/>
    <col customWidth="1" min="5" max="5" width="26.29"/>
    <col customWidth="1" min="6" max="6" width="44.71"/>
    <col customWidth="1" min="7" max="8" width="19.29"/>
    <col customWidth="1" min="9" max="9" width="42.57"/>
    <col customWidth="1" min="10" max="11" width="19.29"/>
    <col customWidth="1" min="12" max="12" width="36.0"/>
    <col customWidth="1" min="13" max="13" width="16.57"/>
    <col customWidth="1" min="14" max="14" width="16.71"/>
    <col customWidth="1" min="15" max="19" width="13.57"/>
    <col customWidth="1" min="20" max="23" width="9.0"/>
  </cols>
  <sheetData>
    <row r="1" ht="19.5" customHeight="1">
      <c r="A1" s="6"/>
      <c r="B1" s="2" t="s">
        <v>816</v>
      </c>
      <c r="C1" s="35"/>
      <c r="D1" s="45"/>
      <c r="E1" s="45"/>
      <c r="F1" s="2"/>
      <c r="G1" s="2"/>
      <c r="H1" s="2"/>
      <c r="I1" s="3"/>
      <c r="J1" s="3"/>
      <c r="K1" s="3"/>
      <c r="L1" s="35"/>
      <c r="M1" s="35"/>
      <c r="N1" s="35"/>
      <c r="O1" s="3"/>
      <c r="P1" s="3"/>
      <c r="Q1" s="3"/>
      <c r="R1" s="3"/>
      <c r="S1" s="3"/>
      <c r="T1" s="3"/>
      <c r="U1" s="3"/>
      <c r="V1" s="3"/>
      <c r="W1" s="3"/>
    </row>
    <row r="2" ht="18.75" customHeight="1">
      <c r="A2" s="52" t="s">
        <v>1287</v>
      </c>
      <c r="D2" s="5" t="s">
        <v>1</v>
      </c>
      <c r="E2" s="53">
        <v>1.0E19</v>
      </c>
      <c r="F2" s="3"/>
      <c r="G2" s="3"/>
      <c r="H2" s="3"/>
      <c r="I2" s="3"/>
      <c r="J2" s="3"/>
      <c r="K2" s="3"/>
      <c r="L2" s="35"/>
      <c r="M2" s="35"/>
      <c r="N2" s="35"/>
      <c r="O2" s="3"/>
      <c r="P2" s="3"/>
      <c r="Q2" s="3"/>
      <c r="R2" s="3"/>
      <c r="S2" s="3"/>
      <c r="T2" s="3"/>
      <c r="U2" s="3"/>
      <c r="V2" s="3"/>
      <c r="W2" s="3"/>
    </row>
    <row r="3" ht="19.5" customHeight="1">
      <c r="A3" s="64"/>
      <c r="B3" s="65"/>
      <c r="C3" s="8" t="s">
        <v>2</v>
      </c>
      <c r="D3" s="9"/>
      <c r="E3" s="10"/>
      <c r="F3" s="13" t="s">
        <v>619</v>
      </c>
      <c r="G3" s="9"/>
      <c r="H3" s="10"/>
      <c r="I3" s="15" t="s">
        <v>6</v>
      </c>
      <c r="J3" s="9"/>
      <c r="K3" s="10"/>
      <c r="L3" s="45"/>
      <c r="M3" s="5"/>
      <c r="N3" s="45"/>
      <c r="O3" s="3"/>
      <c r="P3" s="5"/>
      <c r="Q3" s="45"/>
      <c r="R3" s="5"/>
      <c r="S3" s="45"/>
      <c r="T3" s="3"/>
      <c r="U3" s="3"/>
      <c r="V3" s="3"/>
      <c r="W3" s="3"/>
    </row>
    <row r="4" ht="19.5" customHeight="1">
      <c r="A4" s="57" t="s">
        <v>7</v>
      </c>
      <c r="B4" s="16" t="s">
        <v>8</v>
      </c>
      <c r="C4" s="17" t="s">
        <v>9</v>
      </c>
      <c r="D4" s="17" t="s">
        <v>10</v>
      </c>
      <c r="E4" s="17" t="s">
        <v>11</v>
      </c>
      <c r="F4" s="20" t="s">
        <v>12</v>
      </c>
      <c r="G4" s="20" t="s">
        <v>13</v>
      </c>
      <c r="H4" s="20" t="s">
        <v>16</v>
      </c>
      <c r="I4" s="23" t="s">
        <v>20</v>
      </c>
      <c r="J4" s="23" t="s">
        <v>21</v>
      </c>
      <c r="K4" s="23" t="s">
        <v>22</v>
      </c>
      <c r="L4" s="5"/>
      <c r="M4" s="5"/>
      <c r="N4" s="5"/>
      <c r="O4" s="3"/>
      <c r="P4" s="46"/>
      <c r="Q4" s="46"/>
      <c r="R4" s="46"/>
      <c r="S4" s="46"/>
      <c r="T4" s="3"/>
      <c r="U4" s="3"/>
      <c r="V4" s="3"/>
      <c r="W4" s="3"/>
    </row>
    <row r="5" ht="30.0" customHeight="1">
      <c r="A5" s="2">
        <v>1.0</v>
      </c>
      <c r="B5" s="35" t="s">
        <v>1288</v>
      </c>
      <c r="C5" s="2"/>
      <c r="D5" s="2"/>
      <c r="E5" s="2"/>
      <c r="F5" s="29" t="s">
        <v>1289</v>
      </c>
      <c r="G5" s="28">
        <v>0.4991</v>
      </c>
      <c r="H5" s="28">
        <v>169.768068552017</v>
      </c>
      <c r="I5" s="49" t="s">
        <v>1290</v>
      </c>
      <c r="J5" s="50">
        <v>0.4990692</v>
      </c>
      <c r="K5" s="50">
        <v>197.035138130188</v>
      </c>
      <c r="L5" s="2"/>
      <c r="M5" s="2"/>
      <c r="N5" s="2"/>
      <c r="O5" s="3"/>
      <c r="P5" s="3"/>
      <c r="Q5" s="3"/>
      <c r="R5" s="3"/>
      <c r="S5" s="3"/>
      <c r="T5" s="3"/>
      <c r="U5" s="3"/>
      <c r="V5" s="3"/>
      <c r="W5" s="3"/>
    </row>
    <row r="6" ht="30.0" customHeight="1">
      <c r="A6" s="2">
        <v>2.0</v>
      </c>
      <c r="B6" s="35" t="s">
        <v>1291</v>
      </c>
      <c r="C6" s="2"/>
      <c r="D6" s="2"/>
      <c r="E6" s="2"/>
      <c r="F6" s="29" t="s">
        <v>1292</v>
      </c>
      <c r="G6" s="28">
        <v>0.0</v>
      </c>
      <c r="H6" s="28">
        <v>39.6498820781707</v>
      </c>
      <c r="I6" s="49" t="s">
        <v>1293</v>
      </c>
      <c r="J6" s="50">
        <v>2.861023E-5</v>
      </c>
      <c r="K6" s="50">
        <v>90.1394941806793</v>
      </c>
      <c r="L6" s="2"/>
      <c r="M6" s="2"/>
      <c r="N6" s="2"/>
      <c r="O6" s="3"/>
      <c r="P6" s="3"/>
      <c r="Q6" s="3"/>
      <c r="R6" s="3"/>
      <c r="S6" s="3"/>
      <c r="T6" s="3"/>
      <c r="U6" s="3"/>
      <c r="V6" s="3"/>
      <c r="W6" s="3"/>
    </row>
    <row r="7" ht="30.0" customHeight="1">
      <c r="A7" s="2">
        <v>3.0</v>
      </c>
      <c r="B7" s="35" t="s">
        <v>1294</v>
      </c>
      <c r="C7" s="2"/>
      <c r="D7" s="2"/>
      <c r="E7" s="2"/>
      <c r="F7" s="29" t="s">
        <v>1295</v>
      </c>
      <c r="G7" s="28">
        <v>2.0E-4</v>
      </c>
      <c r="H7" s="28">
        <v>70.164171218872</v>
      </c>
      <c r="I7" s="49" t="s">
        <v>1296</v>
      </c>
      <c r="J7" s="50">
        <v>2.1457672E-4</v>
      </c>
      <c r="K7" s="50">
        <v>90.1146123409271</v>
      </c>
      <c r="L7" s="2"/>
      <c r="M7" s="2"/>
      <c r="N7" s="2"/>
      <c r="O7" s="3"/>
      <c r="P7" s="3"/>
      <c r="Q7" s="3"/>
      <c r="R7" s="3"/>
      <c r="S7" s="3"/>
      <c r="T7" s="3"/>
      <c r="U7" s="3"/>
      <c r="V7" s="3"/>
      <c r="W7" s="3"/>
    </row>
    <row r="8" ht="30.0" customHeight="1">
      <c r="A8" s="2">
        <v>4.0</v>
      </c>
      <c r="B8" s="35" t="s">
        <v>1297</v>
      </c>
      <c r="C8" s="2"/>
      <c r="D8" s="2"/>
      <c r="E8" s="2"/>
      <c r="F8" s="29" t="s">
        <v>1298</v>
      </c>
      <c r="G8" s="28">
        <v>0.0</v>
      </c>
      <c r="H8" s="28">
        <v>40.2639524936676</v>
      </c>
      <c r="I8" s="49" t="s">
        <v>1299</v>
      </c>
      <c r="J8" s="50">
        <v>2.861023E-5</v>
      </c>
      <c r="K8" s="50">
        <v>41.5190639495849</v>
      </c>
      <c r="L8" s="2"/>
      <c r="M8" s="2"/>
      <c r="N8" s="2"/>
      <c r="O8" s="3"/>
      <c r="P8" s="3"/>
      <c r="Q8" s="3"/>
      <c r="R8" s="3"/>
      <c r="S8" s="3"/>
      <c r="T8" s="3"/>
      <c r="U8" s="3"/>
      <c r="V8" s="3"/>
      <c r="W8" s="3"/>
    </row>
    <row r="9" ht="30.0" customHeight="1">
      <c r="A9" s="2">
        <v>5.0</v>
      </c>
      <c r="B9" s="35" t="s">
        <v>1300</v>
      </c>
      <c r="C9" s="2"/>
      <c r="D9" s="2"/>
      <c r="E9" s="2"/>
      <c r="F9" s="29" t="s">
        <v>1301</v>
      </c>
      <c r="G9" s="28">
        <v>8.0E-4</v>
      </c>
      <c r="H9" s="28">
        <v>0.765062093734741</v>
      </c>
      <c r="I9" s="49" t="s">
        <v>1302</v>
      </c>
      <c r="J9" s="50">
        <v>8.354187E-4</v>
      </c>
      <c r="K9" s="50">
        <v>0.122628450393676</v>
      </c>
      <c r="L9" s="2"/>
      <c r="M9" s="2"/>
      <c r="N9" s="2"/>
      <c r="O9" s="3"/>
      <c r="P9" s="3"/>
      <c r="Q9" s="3"/>
      <c r="R9" s="3"/>
      <c r="S9" s="3"/>
      <c r="T9" s="3"/>
      <c r="U9" s="3"/>
      <c r="V9" s="3"/>
      <c r="W9" s="3"/>
    </row>
    <row r="10" ht="30.0" customHeight="1">
      <c r="A10" s="2">
        <v>6.0</v>
      </c>
      <c r="B10" s="35" t="s">
        <v>1303</v>
      </c>
      <c r="C10" s="2"/>
      <c r="D10" s="2"/>
      <c r="E10" s="2"/>
      <c r="F10" s="29" t="s">
        <v>1304</v>
      </c>
      <c r="G10" s="28">
        <v>3.0E-4</v>
      </c>
      <c r="H10" s="28">
        <v>0.714000463485717</v>
      </c>
      <c r="I10" s="49" t="s">
        <v>1305</v>
      </c>
      <c r="J10" s="50">
        <v>3.2901764E-4</v>
      </c>
      <c r="K10" s="50">
        <v>0.133876085281372</v>
      </c>
      <c r="L10" s="2"/>
      <c r="M10" s="2"/>
      <c r="N10" s="2"/>
      <c r="O10" s="3"/>
      <c r="P10" s="3"/>
      <c r="Q10" s="3"/>
      <c r="R10" s="3"/>
      <c r="S10" s="3"/>
      <c r="T10" s="3"/>
      <c r="U10" s="3"/>
      <c r="V10" s="3"/>
      <c r="W10" s="3"/>
    </row>
    <row r="11" ht="30.0" customHeight="1">
      <c r="A11" s="2">
        <v>7.0</v>
      </c>
      <c r="B11" s="35" t="s">
        <v>1306</v>
      </c>
      <c r="C11" s="2"/>
      <c r="D11" s="2"/>
      <c r="E11" s="2"/>
      <c r="F11" s="29" t="s">
        <v>1307</v>
      </c>
      <c r="G11" s="28">
        <v>3.0E-4</v>
      </c>
      <c r="H11" s="28">
        <v>1.66000294685363</v>
      </c>
      <c r="I11" s="49" t="s">
        <v>1308</v>
      </c>
      <c r="J11" s="50">
        <v>3.2901764E-4</v>
      </c>
      <c r="K11" s="50">
        <v>1.99691581726074</v>
      </c>
      <c r="L11" s="2"/>
      <c r="M11" s="2"/>
      <c r="N11" s="2"/>
      <c r="O11" s="3"/>
      <c r="P11" s="3"/>
      <c r="Q11" s="3"/>
      <c r="R11" s="3"/>
      <c r="S11" s="3"/>
      <c r="T11" s="3"/>
      <c r="U11" s="3"/>
      <c r="V11" s="3"/>
      <c r="W11" s="3"/>
    </row>
    <row r="12" ht="30.0" customHeight="1">
      <c r="A12" s="2">
        <v>8.0</v>
      </c>
      <c r="B12" s="35" t="s">
        <v>1309</v>
      </c>
      <c r="C12" s="2"/>
      <c r="D12" s="2"/>
      <c r="E12" s="2"/>
      <c r="F12" s="29" t="s">
        <v>1310</v>
      </c>
      <c r="G12" s="28">
        <v>0.4991</v>
      </c>
      <c r="H12" s="28">
        <v>110.996587753295</v>
      </c>
      <c r="I12" s="49" t="s">
        <v>1311</v>
      </c>
      <c r="J12" s="50">
        <v>0.4990692</v>
      </c>
      <c r="K12" s="50">
        <v>189.559960365295</v>
      </c>
      <c r="L12" s="2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</row>
    <row r="13" ht="30.0" customHeight="1">
      <c r="A13" s="2">
        <v>9.0</v>
      </c>
      <c r="B13" s="35" t="s">
        <v>1312</v>
      </c>
      <c r="C13" s="2"/>
      <c r="D13" s="2"/>
      <c r="E13" s="2"/>
      <c r="F13" s="29" t="s">
        <v>1313</v>
      </c>
      <c r="G13" s="28">
        <v>0.0</v>
      </c>
      <c r="H13" s="28">
        <v>55.8302838802337</v>
      </c>
      <c r="I13" s="49" t="s">
        <v>1314</v>
      </c>
      <c r="J13" s="50">
        <v>2.861023E-5</v>
      </c>
      <c r="K13" s="50">
        <v>87.6356968879699</v>
      </c>
      <c r="L13" s="2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</row>
    <row r="14" ht="30.0" customHeight="1">
      <c r="A14" s="2">
        <v>10.0</v>
      </c>
      <c r="B14" s="35" t="s">
        <v>1315</v>
      </c>
      <c r="C14" s="2"/>
      <c r="D14" s="2"/>
      <c r="E14" s="2"/>
      <c r="F14" s="29" t="s">
        <v>1316</v>
      </c>
      <c r="G14" s="28">
        <v>2.0E-4</v>
      </c>
      <c r="H14" s="28">
        <v>81.5941565036773</v>
      </c>
      <c r="I14" s="49" t="s">
        <v>1317</v>
      </c>
      <c r="J14" s="50">
        <v>2.1457672E-4</v>
      </c>
      <c r="K14" s="50">
        <v>86.7416837215423</v>
      </c>
      <c r="L14" s="2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</row>
    <row r="15" ht="30.0" customHeight="1">
      <c r="A15" s="2">
        <v>11.0</v>
      </c>
      <c r="B15" s="35" t="s">
        <v>1318</v>
      </c>
      <c r="C15" s="2"/>
      <c r="D15" s="2"/>
      <c r="E15" s="2"/>
      <c r="F15" s="29" t="s">
        <v>1319</v>
      </c>
      <c r="G15" s="28">
        <v>0.0</v>
      </c>
      <c r="H15" s="28">
        <v>33.484894990921</v>
      </c>
      <c r="I15" s="49" t="s">
        <v>1320</v>
      </c>
      <c r="J15" s="50">
        <v>2.861023E-5</v>
      </c>
      <c r="K15" s="50">
        <v>40.6423466205596</v>
      </c>
      <c r="L15" s="2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</row>
    <row r="16" ht="30.0" customHeight="1">
      <c r="A16" s="2">
        <v>12.0</v>
      </c>
      <c r="B16" s="35" t="s">
        <v>1321</v>
      </c>
      <c r="C16" s="2"/>
      <c r="D16" s="2"/>
      <c r="E16" s="2"/>
      <c r="F16" s="29" t="s">
        <v>1322</v>
      </c>
      <c r="G16" s="28">
        <v>8.0E-4</v>
      </c>
      <c r="H16" s="28">
        <v>0.631999492645263</v>
      </c>
      <c r="I16" s="49" t="s">
        <v>1323</v>
      </c>
      <c r="J16" s="50">
        <v>8.354187E-4</v>
      </c>
      <c r="K16" s="50">
        <v>0.118779897689819</v>
      </c>
      <c r="L16" s="2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</row>
    <row r="17" ht="30.0" customHeight="1">
      <c r="A17" s="2">
        <v>13.0</v>
      </c>
      <c r="B17" s="35" t="s">
        <v>1324</v>
      </c>
      <c r="C17" s="2"/>
      <c r="D17" s="2"/>
      <c r="E17" s="2"/>
      <c r="F17" s="29" t="s">
        <v>1325</v>
      </c>
      <c r="G17" s="28">
        <v>3.0E-4</v>
      </c>
      <c r="H17" s="28">
        <v>0.606002330780029</v>
      </c>
      <c r="I17" s="49" t="s">
        <v>1326</v>
      </c>
      <c r="J17" s="50">
        <v>3.2901764E-4</v>
      </c>
      <c r="K17" s="50">
        <v>0.117610454559326</v>
      </c>
      <c r="L17" s="2"/>
      <c r="M17" s="2"/>
      <c r="N17" s="2"/>
      <c r="O17" s="3"/>
      <c r="P17" s="3"/>
      <c r="Q17" s="3"/>
      <c r="R17" s="3"/>
      <c r="S17" s="3"/>
      <c r="T17" s="3"/>
      <c r="U17" s="3"/>
      <c r="V17" s="3"/>
      <c r="W17" s="3"/>
    </row>
    <row r="18" ht="30.0" customHeight="1">
      <c r="A18" s="2">
        <v>14.0</v>
      </c>
      <c r="B18" s="35" t="s">
        <v>1327</v>
      </c>
      <c r="C18" s="2"/>
      <c r="D18" s="2"/>
      <c r="E18" s="2"/>
      <c r="F18" s="29" t="s">
        <v>1328</v>
      </c>
      <c r="G18" s="28">
        <v>3.0E-4</v>
      </c>
      <c r="H18" s="28">
        <v>1.51413869857788</v>
      </c>
      <c r="I18" s="49" t="s">
        <v>1329</v>
      </c>
      <c r="J18" s="50">
        <v>3.2901764E-4</v>
      </c>
      <c r="K18" s="50">
        <v>1.81815838813781</v>
      </c>
      <c r="L18" s="2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</row>
    <row r="19" ht="30.0" customHeight="1">
      <c r="A19" s="2">
        <v>15.0</v>
      </c>
      <c r="B19" s="35" t="s">
        <v>1330</v>
      </c>
      <c r="C19" s="2"/>
      <c r="D19" s="2"/>
      <c r="E19" s="2"/>
      <c r="F19" s="29" t="s">
        <v>1331</v>
      </c>
      <c r="G19" s="28">
        <v>0.4991</v>
      </c>
      <c r="H19" s="28">
        <v>158.301079273223</v>
      </c>
      <c r="I19" s="49" t="s">
        <v>1332</v>
      </c>
      <c r="J19" s="50">
        <v>0.4990692</v>
      </c>
      <c r="K19" s="50">
        <v>190.539572715759</v>
      </c>
      <c r="L19" s="2"/>
      <c r="M19" s="2"/>
      <c r="N19" s="2"/>
      <c r="O19" s="3"/>
      <c r="P19" s="3"/>
      <c r="Q19" s="3"/>
      <c r="R19" s="3"/>
      <c r="S19" s="3"/>
      <c r="T19" s="3"/>
      <c r="U19" s="3"/>
      <c r="V19" s="3"/>
      <c r="W19" s="3"/>
    </row>
    <row r="20" ht="30.0" customHeight="1">
      <c r="A20" s="2">
        <v>16.0</v>
      </c>
      <c r="B20" s="35" t="s">
        <v>1333</v>
      </c>
      <c r="C20" s="2"/>
      <c r="D20" s="2"/>
      <c r="E20" s="2"/>
      <c r="F20" s="29" t="s">
        <v>1334</v>
      </c>
      <c r="G20" s="28">
        <v>0.0</v>
      </c>
      <c r="H20" s="28">
        <v>58.8843057155609</v>
      </c>
      <c r="I20" s="49" t="s">
        <v>1335</v>
      </c>
      <c r="J20" s="50">
        <v>2.861023E-5</v>
      </c>
      <c r="K20" s="50">
        <v>87.5846283435821</v>
      </c>
      <c r="L20" s="2"/>
      <c r="M20" s="2"/>
      <c r="N20" s="2"/>
      <c r="O20" s="3"/>
      <c r="P20" s="3"/>
      <c r="Q20" s="3"/>
      <c r="R20" s="3"/>
      <c r="S20" s="3"/>
      <c r="T20" s="3"/>
      <c r="U20" s="3"/>
      <c r="V20" s="3"/>
      <c r="W20" s="3"/>
    </row>
    <row r="21" ht="30.0" customHeight="1">
      <c r="A21" s="2">
        <v>17.0</v>
      </c>
      <c r="B21" s="35" t="s">
        <v>1336</v>
      </c>
      <c r="C21" s="2"/>
      <c r="D21" s="2"/>
      <c r="E21" s="2"/>
      <c r="F21" s="29" t="s">
        <v>1337</v>
      </c>
      <c r="G21" s="28">
        <v>2.0E-4</v>
      </c>
      <c r="H21" s="28">
        <v>76.9316973686218</v>
      </c>
      <c r="I21" s="49" t="s">
        <v>1338</v>
      </c>
      <c r="J21" s="50">
        <v>2.1457672E-4</v>
      </c>
      <c r="K21" s="50">
        <v>87.3853890895843</v>
      </c>
      <c r="L21" s="2"/>
      <c r="M21" s="2"/>
      <c r="N21" s="2"/>
      <c r="O21" s="3"/>
      <c r="P21" s="3"/>
      <c r="Q21" s="3"/>
      <c r="R21" s="3"/>
      <c r="S21" s="3"/>
      <c r="T21" s="3"/>
      <c r="U21" s="3"/>
      <c r="V21" s="3"/>
      <c r="W21" s="3"/>
    </row>
    <row r="22" ht="30.0" customHeight="1">
      <c r="A22" s="2">
        <v>18.0</v>
      </c>
      <c r="B22" s="35" t="s">
        <v>1339</v>
      </c>
      <c r="C22" s="2"/>
      <c r="D22" s="2"/>
      <c r="E22" s="2"/>
      <c r="F22" s="29" t="s">
        <v>1340</v>
      </c>
      <c r="G22" s="28">
        <v>0.0</v>
      </c>
      <c r="H22" s="28">
        <v>40.718213558197</v>
      </c>
      <c r="I22" s="49" t="s">
        <v>1341</v>
      </c>
      <c r="J22" s="50">
        <v>2.861023E-5</v>
      </c>
      <c r="K22" s="50">
        <v>41.5466096401214</v>
      </c>
      <c r="L22" s="2"/>
      <c r="M22" s="2"/>
      <c r="N22" s="2"/>
      <c r="O22" s="3"/>
      <c r="P22" s="3"/>
      <c r="Q22" s="3"/>
      <c r="R22" s="3"/>
      <c r="S22" s="3"/>
      <c r="T22" s="3"/>
      <c r="U22" s="3"/>
      <c r="V22" s="3"/>
      <c r="W22" s="3"/>
    </row>
    <row r="23" ht="30.0" customHeight="1">
      <c r="A23" s="2">
        <v>19.0</v>
      </c>
      <c r="B23" s="35" t="s">
        <v>1342</v>
      </c>
      <c r="C23" s="2"/>
      <c r="D23" s="2"/>
      <c r="E23" s="2"/>
      <c r="F23" s="29" t="s">
        <v>1343</v>
      </c>
      <c r="G23" s="28">
        <v>8.0E-4</v>
      </c>
      <c r="H23" s="28">
        <v>0.779982328414917</v>
      </c>
      <c r="I23" s="49" t="s">
        <v>1344</v>
      </c>
      <c r="J23" s="50">
        <v>8.354187E-4</v>
      </c>
      <c r="K23" s="50">
        <v>0.111243486404418</v>
      </c>
      <c r="L23" s="2"/>
      <c r="M23" s="2"/>
      <c r="N23" s="2"/>
      <c r="O23" s="3"/>
      <c r="P23" s="3"/>
      <c r="Q23" s="3"/>
      <c r="R23" s="3"/>
      <c r="S23" s="3"/>
      <c r="T23" s="3"/>
      <c r="U23" s="3"/>
      <c r="V23" s="3"/>
      <c r="W23" s="3"/>
    </row>
    <row r="24" ht="30.0" customHeight="1">
      <c r="A24" s="2">
        <v>20.0</v>
      </c>
      <c r="B24" s="35" t="s">
        <v>1345</v>
      </c>
      <c r="C24" s="2"/>
      <c r="D24" s="2"/>
      <c r="E24" s="2"/>
      <c r="F24" s="29" t="s">
        <v>1346</v>
      </c>
      <c r="G24" s="28">
        <v>3.0E-4</v>
      </c>
      <c r="H24" s="28">
        <v>0.64016580581665</v>
      </c>
      <c r="I24" s="49" t="s">
        <v>1347</v>
      </c>
      <c r="J24" s="50">
        <v>3.2901764E-4</v>
      </c>
      <c r="K24" s="50">
        <v>0.113774299621582</v>
      </c>
      <c r="L24" s="2"/>
      <c r="M24" s="2"/>
      <c r="N24" s="2"/>
      <c r="O24" s="3"/>
      <c r="P24" s="3"/>
      <c r="Q24" s="3"/>
      <c r="R24" s="3"/>
      <c r="S24" s="3"/>
      <c r="T24" s="3"/>
      <c r="U24" s="3"/>
      <c r="V24" s="3"/>
      <c r="W24" s="3"/>
    </row>
    <row r="25" ht="30.0" customHeight="1">
      <c r="A25" s="2">
        <v>21.0</v>
      </c>
      <c r="B25" s="35" t="s">
        <v>1348</v>
      </c>
      <c r="C25" s="2"/>
      <c r="D25" s="2"/>
      <c r="E25" s="2"/>
      <c r="F25" s="29" t="s">
        <v>1349</v>
      </c>
      <c r="G25" s="28">
        <v>3.0E-4</v>
      </c>
      <c r="H25" s="28">
        <v>1.94510602951049</v>
      </c>
      <c r="I25" s="49" t="s">
        <v>1350</v>
      </c>
      <c r="J25" s="50">
        <v>3.2901764E-4</v>
      </c>
      <c r="K25" s="50">
        <v>1.82067036628723</v>
      </c>
      <c r="L25" s="2"/>
      <c r="M25" s="2"/>
      <c r="N25" s="2"/>
      <c r="O25" s="3"/>
      <c r="P25" s="3"/>
      <c r="Q25" s="3"/>
      <c r="R25" s="3"/>
      <c r="S25" s="3"/>
      <c r="T25" s="3"/>
      <c r="U25" s="3"/>
      <c r="V25" s="3"/>
      <c r="W25" s="3"/>
    </row>
    <row r="26" ht="30.0" customHeight="1">
      <c r="A26" s="2">
        <v>22.0</v>
      </c>
      <c r="B26" s="35" t="s">
        <v>1351</v>
      </c>
      <c r="C26" s="2"/>
      <c r="D26" s="2"/>
      <c r="E26" s="2"/>
      <c r="F26" s="29" t="s">
        <v>1352</v>
      </c>
      <c r="G26" s="28">
        <v>0.4991</v>
      </c>
      <c r="H26" s="28">
        <v>140.38668346405</v>
      </c>
      <c r="I26" s="49" t="s">
        <v>1353</v>
      </c>
      <c r="J26" s="50">
        <v>0.4990692</v>
      </c>
      <c r="K26" s="50">
        <v>185.413919925689</v>
      </c>
      <c r="L26" s="2"/>
      <c r="M26" s="2"/>
      <c r="N26" s="2"/>
      <c r="O26" s="3"/>
      <c r="P26" s="3"/>
      <c r="Q26" s="3"/>
      <c r="R26" s="3"/>
      <c r="S26" s="3"/>
      <c r="T26" s="3"/>
      <c r="U26" s="3"/>
      <c r="V26" s="3"/>
      <c r="W26" s="3"/>
    </row>
    <row r="27" ht="30.0" customHeight="1">
      <c r="A27" s="2">
        <v>23.0</v>
      </c>
      <c r="B27" s="35" t="s">
        <v>1354</v>
      </c>
      <c r="C27" s="2"/>
      <c r="D27" s="2"/>
      <c r="E27" s="2"/>
      <c r="F27" s="29" t="s">
        <v>1355</v>
      </c>
      <c r="G27" s="28">
        <v>0.0</v>
      </c>
      <c r="H27" s="28">
        <v>59.9170401096344</v>
      </c>
      <c r="I27" s="49" t="s">
        <v>1356</v>
      </c>
      <c r="J27" s="50">
        <v>2.861023E-5</v>
      </c>
      <c r="K27" s="50">
        <v>83.5539820194244</v>
      </c>
      <c r="L27" s="2"/>
      <c r="M27" s="2"/>
      <c r="N27" s="2"/>
      <c r="O27" s="3"/>
      <c r="P27" s="3"/>
      <c r="Q27" s="3"/>
      <c r="R27" s="3"/>
      <c r="S27" s="3"/>
      <c r="T27" s="3"/>
      <c r="U27" s="3"/>
      <c r="V27" s="3"/>
      <c r="W27" s="3"/>
    </row>
    <row r="28" ht="30.0" customHeight="1">
      <c r="A28" s="2">
        <v>24.0</v>
      </c>
      <c r="B28" s="35" t="s">
        <v>1357</v>
      </c>
      <c r="C28" s="2"/>
      <c r="D28" s="2"/>
      <c r="E28" s="2"/>
      <c r="F28" s="29" t="s">
        <v>1358</v>
      </c>
      <c r="G28" s="28">
        <v>2.0E-4</v>
      </c>
      <c r="H28" s="28">
        <v>67.1106522083282</v>
      </c>
      <c r="I28" s="49" t="s">
        <v>1359</v>
      </c>
      <c r="J28" s="50">
        <v>2.1457672E-4</v>
      </c>
      <c r="K28" s="50">
        <v>83.4946699142456</v>
      </c>
      <c r="L28" s="2"/>
      <c r="M28" s="2"/>
      <c r="N28" s="2"/>
      <c r="O28" s="3"/>
      <c r="P28" s="3"/>
      <c r="Q28" s="3"/>
      <c r="R28" s="3"/>
      <c r="S28" s="3"/>
      <c r="T28" s="3"/>
      <c r="U28" s="3"/>
      <c r="V28" s="3"/>
      <c r="W28" s="3"/>
    </row>
    <row r="29" ht="30.0" customHeight="1">
      <c r="A29" s="2">
        <v>25.0</v>
      </c>
      <c r="B29" s="35" t="s">
        <v>1360</v>
      </c>
      <c r="C29" s="2"/>
      <c r="D29" s="2"/>
      <c r="E29" s="2"/>
      <c r="F29" s="29" t="s">
        <v>1361</v>
      </c>
      <c r="G29" s="28">
        <v>0.0</v>
      </c>
      <c r="H29" s="28">
        <v>18.6414725780487</v>
      </c>
      <c r="I29" s="49" t="s">
        <v>1362</v>
      </c>
      <c r="J29" s="50">
        <v>2.861023E-5</v>
      </c>
      <c r="K29" s="50">
        <v>38.9719052314758</v>
      </c>
      <c r="L29" s="2"/>
      <c r="M29" s="2"/>
      <c r="N29" s="2"/>
      <c r="O29" s="3"/>
      <c r="P29" s="3"/>
      <c r="Q29" s="3"/>
      <c r="R29" s="3"/>
      <c r="S29" s="3"/>
      <c r="T29" s="3"/>
      <c r="U29" s="3"/>
      <c r="V29" s="3"/>
      <c r="W29" s="3"/>
    </row>
    <row r="30" ht="30.0" customHeight="1">
      <c r="A30" s="2">
        <v>26.0</v>
      </c>
      <c r="B30" s="35" t="s">
        <v>1363</v>
      </c>
      <c r="C30" s="2"/>
      <c r="D30" s="2"/>
      <c r="E30" s="2"/>
      <c r="F30" s="29" t="s">
        <v>1364</v>
      </c>
      <c r="G30" s="28">
        <v>8.0E-4</v>
      </c>
      <c r="H30" s="28">
        <v>0.624996662139892</v>
      </c>
      <c r="I30" s="49" t="s">
        <v>1365</v>
      </c>
      <c r="J30" s="50">
        <v>8.354187E-4</v>
      </c>
      <c r="K30" s="50">
        <v>0.108542442321777</v>
      </c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3"/>
    </row>
    <row r="31" ht="30.0" customHeight="1">
      <c r="A31" s="2">
        <v>27.0</v>
      </c>
      <c r="B31" s="35" t="s">
        <v>1366</v>
      </c>
      <c r="C31" s="2"/>
      <c r="D31" s="2"/>
      <c r="E31" s="2"/>
      <c r="F31" s="29" t="s">
        <v>1367</v>
      </c>
      <c r="G31" s="28">
        <v>3.0E-4</v>
      </c>
      <c r="H31" s="28">
        <v>0.523144960403442</v>
      </c>
      <c r="I31" s="49" t="s">
        <v>1368</v>
      </c>
      <c r="J31" s="50">
        <v>3.2901764E-4</v>
      </c>
      <c r="K31" s="50">
        <v>0.105637550354003</v>
      </c>
      <c r="L31" s="2"/>
      <c r="M31" s="2"/>
      <c r="N31" s="2"/>
      <c r="O31" s="3"/>
      <c r="P31" s="3"/>
      <c r="Q31" s="3"/>
      <c r="R31" s="3"/>
      <c r="S31" s="3"/>
      <c r="T31" s="3"/>
      <c r="U31" s="3"/>
      <c r="V31" s="3"/>
      <c r="W31" s="3"/>
    </row>
    <row r="32" ht="30.0" customHeight="1">
      <c r="A32" s="2">
        <v>28.0</v>
      </c>
      <c r="B32" s="35" t="s">
        <v>1369</v>
      </c>
      <c r="C32" s="2"/>
      <c r="D32" s="2"/>
      <c r="E32" s="2"/>
      <c r="F32" s="29" t="s">
        <v>1370</v>
      </c>
      <c r="G32" s="28">
        <v>3.0E-4</v>
      </c>
      <c r="H32" s="28">
        <v>1.40092206001281</v>
      </c>
      <c r="I32" s="49" t="s">
        <v>1371</v>
      </c>
      <c r="J32" s="50">
        <v>3.2901764E-4</v>
      </c>
      <c r="K32" s="50">
        <v>1.76832103729248</v>
      </c>
      <c r="L32" s="2"/>
      <c r="M32" s="2"/>
      <c r="N32" s="2"/>
      <c r="O32" s="3"/>
      <c r="P32" s="3"/>
      <c r="Q32" s="3"/>
      <c r="R32" s="3"/>
      <c r="S32" s="3"/>
      <c r="T32" s="3"/>
      <c r="U32" s="3"/>
      <c r="V32" s="3"/>
      <c r="W32" s="3"/>
    </row>
    <row r="33" ht="30.0" customHeight="1">
      <c r="A33" s="2">
        <v>29.0</v>
      </c>
      <c r="B33" s="35" t="s">
        <v>1372</v>
      </c>
      <c r="C33" s="2"/>
      <c r="D33" s="2"/>
      <c r="E33" s="2"/>
      <c r="F33" s="29" t="s">
        <v>1373</v>
      </c>
      <c r="G33" s="28">
        <v>0.4993</v>
      </c>
      <c r="H33" s="28">
        <v>50.6559972763061</v>
      </c>
      <c r="I33" s="49" t="s">
        <v>1374</v>
      </c>
      <c r="J33" s="50">
        <v>0.4992504</v>
      </c>
      <c r="K33" s="50">
        <v>134.678570985794</v>
      </c>
      <c r="L33" s="2"/>
      <c r="M33" s="2"/>
      <c r="N33" s="2"/>
      <c r="O33" s="3"/>
      <c r="P33" s="3"/>
      <c r="Q33" s="3"/>
      <c r="R33" s="3"/>
      <c r="S33" s="3"/>
      <c r="T33" s="3"/>
      <c r="U33" s="3"/>
      <c r="V33" s="3"/>
      <c r="W33" s="3"/>
    </row>
    <row r="34" ht="30.0" customHeight="1">
      <c r="A34" s="2">
        <v>30.0</v>
      </c>
      <c r="B34" s="35" t="s">
        <v>1375</v>
      </c>
      <c r="C34" s="2"/>
      <c r="D34" s="2"/>
      <c r="E34" s="2"/>
      <c r="F34" s="29" t="s">
        <v>1376</v>
      </c>
      <c r="G34" s="28">
        <v>0.0</v>
      </c>
      <c r="H34" s="28">
        <v>22.2223722934722</v>
      </c>
      <c r="I34" s="49" t="s">
        <v>1377</v>
      </c>
      <c r="J34" s="50">
        <v>2.861023E-5</v>
      </c>
      <c r="K34" s="50">
        <v>60.3640413284301</v>
      </c>
      <c r="L34" s="2"/>
      <c r="M34" s="2"/>
      <c r="N34" s="2"/>
      <c r="O34" s="3"/>
      <c r="P34" s="3"/>
      <c r="Q34" s="3"/>
      <c r="R34" s="3"/>
      <c r="S34" s="3"/>
      <c r="T34" s="3"/>
      <c r="U34" s="3"/>
      <c r="V34" s="3"/>
      <c r="W34" s="3"/>
    </row>
    <row r="35" ht="30.0" customHeight="1">
      <c r="A35" s="2">
        <v>31.0</v>
      </c>
      <c r="B35" s="35" t="s">
        <v>1378</v>
      </c>
      <c r="C35" s="2"/>
      <c r="D35" s="2"/>
      <c r="E35" s="2"/>
      <c r="F35" s="29" t="s">
        <v>1379</v>
      </c>
      <c r="G35" s="28">
        <v>2.0E-4</v>
      </c>
      <c r="H35" s="28">
        <v>27.8441109657287</v>
      </c>
      <c r="I35" s="49" t="s">
        <v>1380</v>
      </c>
      <c r="J35" s="50">
        <v>2.374649E-4</v>
      </c>
      <c r="K35" s="50">
        <v>60.3555257320404</v>
      </c>
      <c r="L35" s="2"/>
      <c r="M35" s="2"/>
      <c r="N35" s="2"/>
      <c r="O35" s="3"/>
      <c r="P35" s="3"/>
      <c r="Q35" s="3"/>
      <c r="R35" s="3"/>
      <c r="S35" s="3"/>
      <c r="T35" s="3"/>
      <c r="U35" s="3"/>
      <c r="V35" s="3"/>
      <c r="W35" s="3"/>
    </row>
    <row r="36" ht="30.0" customHeight="1">
      <c r="A36" s="2">
        <v>32.0</v>
      </c>
      <c r="B36" s="35" t="s">
        <v>1381</v>
      </c>
      <c r="C36" s="2"/>
      <c r="D36" s="2"/>
      <c r="E36" s="2"/>
      <c r="F36" s="29" t="s">
        <v>1382</v>
      </c>
      <c r="G36" s="28">
        <v>0.0</v>
      </c>
      <c r="H36" s="28">
        <v>13.5258517265319</v>
      </c>
      <c r="I36" s="49" t="s">
        <v>1383</v>
      </c>
      <c r="J36" s="50">
        <v>2.861023E-5</v>
      </c>
      <c r="K36" s="50">
        <v>28.2248606681823</v>
      </c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</row>
    <row r="37" ht="30.0" customHeight="1">
      <c r="A37" s="2">
        <v>33.0</v>
      </c>
      <c r="B37" s="35" t="s">
        <v>1384</v>
      </c>
      <c r="C37" s="69" t="s">
        <v>1385</v>
      </c>
      <c r="D37" s="69">
        <v>8.0E-4</v>
      </c>
      <c r="E37" s="69">
        <v>121.6444</v>
      </c>
      <c r="F37" s="29" t="s">
        <v>1386</v>
      </c>
      <c r="G37" s="28">
        <v>8.0E-4</v>
      </c>
      <c r="H37" s="28">
        <v>0.286267518997192</v>
      </c>
      <c r="I37" s="49" t="s">
        <v>1387</v>
      </c>
      <c r="J37" s="50">
        <v>8.354187E-4</v>
      </c>
      <c r="K37" s="50">
        <v>0.0718398094177246</v>
      </c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</row>
    <row r="38" ht="30.0" customHeight="1">
      <c r="A38" s="2">
        <v>34.0</v>
      </c>
      <c r="B38" s="35" t="s">
        <v>1388</v>
      </c>
      <c r="C38" s="69" t="s">
        <v>1389</v>
      </c>
      <c r="D38" s="70">
        <v>0.0016</v>
      </c>
      <c r="E38" s="69">
        <v>127.4291</v>
      </c>
      <c r="F38" s="29" t="s">
        <v>1390</v>
      </c>
      <c r="G38" s="28">
        <v>0.0016</v>
      </c>
      <c r="H38" s="28">
        <v>0.299087762832641</v>
      </c>
      <c r="I38" s="49" t="s">
        <v>1391</v>
      </c>
      <c r="J38" s="50">
        <v>0.0015687943</v>
      </c>
      <c r="K38" s="50">
        <v>0.0729625225067138</v>
      </c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</row>
    <row r="39" ht="30.0" customHeight="1">
      <c r="A39" s="2">
        <v>35.0</v>
      </c>
      <c r="B39" s="35" t="s">
        <v>1392</v>
      </c>
      <c r="D39" s="2"/>
      <c r="E39" s="2"/>
      <c r="F39" s="29" t="s">
        <v>1393</v>
      </c>
      <c r="G39" s="28">
        <v>4.0E-4</v>
      </c>
      <c r="H39" s="28">
        <v>0.845048189163208</v>
      </c>
      <c r="I39" s="49" t="s">
        <v>1394</v>
      </c>
      <c r="J39" s="50">
        <v>3.8433075E-4</v>
      </c>
      <c r="K39" s="50">
        <v>1.29536700248718</v>
      </c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</row>
    <row r="40" ht="30.0" customHeight="1">
      <c r="A40" s="2">
        <v>36.0</v>
      </c>
      <c r="B40" s="35" t="s">
        <v>1395</v>
      </c>
      <c r="C40" s="2"/>
      <c r="D40" s="2"/>
      <c r="E40" s="2"/>
      <c r="F40" s="29" t="s">
        <v>1396</v>
      </c>
      <c r="G40" s="28">
        <v>0.4991</v>
      </c>
      <c r="H40" s="28">
        <v>58.7196140289306</v>
      </c>
      <c r="I40" s="49" t="s">
        <v>1397</v>
      </c>
      <c r="J40" s="50">
        <v>0.4990692</v>
      </c>
      <c r="K40" s="50">
        <v>132.873974561691</v>
      </c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</row>
    <row r="41" ht="30.0" customHeight="1">
      <c r="A41" s="2">
        <v>37.0</v>
      </c>
      <c r="B41" s="35" t="s">
        <v>1398</v>
      </c>
      <c r="C41" s="3"/>
      <c r="D41" s="2"/>
      <c r="E41" s="2"/>
      <c r="F41" s="29" t="s">
        <v>1399</v>
      </c>
      <c r="G41" s="28">
        <v>2.0E-4</v>
      </c>
      <c r="H41" s="28">
        <v>15.805438041687</v>
      </c>
      <c r="I41" s="49" t="s">
        <v>1400</v>
      </c>
      <c r="J41" s="50">
        <v>2.1266937E-4</v>
      </c>
      <c r="K41" s="50">
        <v>62.1403052806854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30.0" customHeight="1">
      <c r="A42" s="2">
        <v>38.0</v>
      </c>
      <c r="B42" s="35" t="s">
        <v>1401</v>
      </c>
      <c r="C42" s="3"/>
      <c r="D42" s="2"/>
      <c r="E42" s="2"/>
      <c r="F42" s="29" t="s">
        <v>1402</v>
      </c>
      <c r="G42" s="28">
        <v>2.0E-4</v>
      </c>
      <c r="H42" s="28">
        <v>34.6763694286346</v>
      </c>
      <c r="I42" s="49" t="s">
        <v>1403</v>
      </c>
      <c r="J42" s="50">
        <v>2.1457672E-4</v>
      </c>
      <c r="K42" s="50">
        <v>65.3037979602813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30.0" customHeight="1">
      <c r="A43" s="2">
        <v>39.0</v>
      </c>
      <c r="B43" s="3" t="s">
        <v>1404</v>
      </c>
      <c r="C43" s="3"/>
      <c r="D43" s="2"/>
      <c r="E43" s="2"/>
      <c r="F43" s="29" t="s">
        <v>1405</v>
      </c>
      <c r="G43" s="28">
        <v>2.0E-4</v>
      </c>
      <c r="H43" s="28">
        <v>9.9031240940094</v>
      </c>
      <c r="I43" s="49" t="s">
        <v>1406</v>
      </c>
      <c r="J43" s="50">
        <v>2.1266937E-4</v>
      </c>
      <c r="K43" s="50">
        <v>31.3713390827178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30.0" customHeight="1">
      <c r="A44" s="2">
        <v>40.0</v>
      </c>
      <c r="B44" s="3" t="s">
        <v>1407</v>
      </c>
      <c r="C44" s="70" t="s">
        <v>1408</v>
      </c>
      <c r="D44" s="69">
        <v>0.0013</v>
      </c>
      <c r="E44" s="69">
        <v>133.6163</v>
      </c>
      <c r="F44" s="29" t="s">
        <v>1409</v>
      </c>
      <c r="G44" s="28">
        <v>0.0013</v>
      </c>
      <c r="H44" s="28">
        <v>0.159689426422119</v>
      </c>
      <c r="I44" s="49" t="s">
        <v>1410</v>
      </c>
      <c r="J44" s="50">
        <v>0.0013055801</v>
      </c>
      <c r="K44" s="50">
        <v>0.0735154151916503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30.0" customHeight="1">
      <c r="A45" s="2">
        <v>41.0</v>
      </c>
      <c r="B45" s="3" t="s">
        <v>1411</v>
      </c>
      <c r="C45" s="70" t="s">
        <v>1412</v>
      </c>
      <c r="D45" s="69">
        <v>0.003</v>
      </c>
      <c r="E45" s="69">
        <v>130.7635</v>
      </c>
      <c r="F45" s="29" t="s">
        <v>1413</v>
      </c>
      <c r="G45" s="28">
        <v>3.0E-4</v>
      </c>
      <c r="H45" s="28">
        <v>0.163396835327148</v>
      </c>
      <c r="I45" s="49" t="s">
        <v>1414</v>
      </c>
      <c r="J45" s="50">
        <v>3.2901764E-4</v>
      </c>
      <c r="K45" s="50">
        <v>0.0717599391937255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30.0" customHeight="1">
      <c r="A46" s="2">
        <v>42.0</v>
      </c>
      <c r="B46" s="3" t="s">
        <v>1415</v>
      </c>
      <c r="C46" s="3"/>
      <c r="D46" s="2"/>
      <c r="E46" s="2"/>
      <c r="F46" s="29" t="s">
        <v>1416</v>
      </c>
      <c r="G46" s="28">
        <v>3.0E-4</v>
      </c>
      <c r="H46" s="28">
        <v>0.499986886978149</v>
      </c>
      <c r="I46" s="49" t="s">
        <v>1417</v>
      </c>
      <c r="J46" s="50">
        <v>3.2901764E-4</v>
      </c>
      <c r="K46" s="50">
        <v>1.30682063102722</v>
      </c>
      <c r="L46" s="71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30.0" customHeight="1">
      <c r="A47" s="2">
        <v>43.0</v>
      </c>
      <c r="B47" s="3" t="s">
        <v>1418</v>
      </c>
      <c r="C47" s="3"/>
      <c r="D47" s="2"/>
      <c r="E47" s="2"/>
      <c r="F47" s="29" t="s">
        <v>1419</v>
      </c>
      <c r="G47" s="28">
        <v>0.4991</v>
      </c>
      <c r="H47" s="28">
        <v>79.4606239795684</v>
      </c>
      <c r="I47" s="49" t="s">
        <v>1420</v>
      </c>
      <c r="J47" s="50">
        <v>0.4990692</v>
      </c>
      <c r="K47" s="50">
        <v>158.660331249237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30.0" customHeight="1">
      <c r="A48" s="2">
        <v>44.0</v>
      </c>
      <c r="B48" s="3" t="s">
        <v>1421</v>
      </c>
      <c r="C48" s="3"/>
      <c r="D48" s="2"/>
      <c r="E48" s="2"/>
      <c r="F48" s="29" t="s">
        <v>1422</v>
      </c>
      <c r="G48" s="28">
        <v>0.0</v>
      </c>
      <c r="H48" s="28">
        <v>31.875125169754</v>
      </c>
      <c r="I48" s="49" t="s">
        <v>1423</v>
      </c>
      <c r="J48" s="50">
        <v>2.861023E-5</v>
      </c>
      <c r="K48" s="50">
        <v>73.4624233245849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30.0" customHeight="1">
      <c r="A49" s="2">
        <v>45.0</v>
      </c>
      <c r="B49" s="3" t="s">
        <v>1424</v>
      </c>
      <c r="C49" s="3"/>
      <c r="D49" s="2"/>
      <c r="E49" s="2"/>
      <c r="F49" s="29" t="s">
        <v>1425</v>
      </c>
      <c r="G49" s="28">
        <v>3.0E-4</v>
      </c>
      <c r="H49" s="28">
        <v>59.3541140556335</v>
      </c>
      <c r="I49" s="49" t="s">
        <v>1426</v>
      </c>
      <c r="J49" s="50">
        <v>3.1089783E-4</v>
      </c>
      <c r="K49" s="50">
        <v>74.0770680904388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30.0" customHeight="1">
      <c r="A50" s="2">
        <v>46.0</v>
      </c>
      <c r="B50" s="3" t="s">
        <v>1427</v>
      </c>
      <c r="C50" s="3"/>
      <c r="D50" s="2"/>
      <c r="E50" s="2"/>
      <c r="F50" s="29" t="s">
        <v>1428</v>
      </c>
      <c r="G50" s="28">
        <v>0.0</v>
      </c>
      <c r="H50" s="28">
        <v>26.6387906074523</v>
      </c>
      <c r="I50" s="49" t="s">
        <v>1429</v>
      </c>
      <c r="J50" s="50">
        <v>2.861023E-5</v>
      </c>
      <c r="K50" s="50">
        <v>33.8488948345184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30.0" customHeight="1">
      <c r="A51" s="2">
        <v>47.0</v>
      </c>
      <c r="B51" s="3" t="s">
        <v>1430</v>
      </c>
      <c r="C51" s="3"/>
      <c r="D51" s="2"/>
      <c r="E51" s="2"/>
      <c r="F51" s="29" t="s">
        <v>1431</v>
      </c>
      <c r="G51" s="28">
        <v>8.0E-4</v>
      </c>
      <c r="H51" s="28">
        <v>0.305595636367797</v>
      </c>
      <c r="I51" s="49" t="s">
        <v>1432</v>
      </c>
      <c r="J51" s="50">
        <v>8.354187E-4</v>
      </c>
      <c r="K51" s="50">
        <v>0.0901777744293212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30.0" customHeight="1">
      <c r="A52" s="2">
        <v>48.0</v>
      </c>
      <c r="B52" s="3" t="s">
        <v>1433</v>
      </c>
      <c r="C52" s="3"/>
      <c r="D52" s="2"/>
      <c r="E52" s="2"/>
      <c r="F52" s="29" t="s">
        <v>1434</v>
      </c>
      <c r="G52" s="28">
        <v>0.0016</v>
      </c>
      <c r="H52" s="28">
        <v>0.298590421676635</v>
      </c>
      <c r="I52" s="49" t="s">
        <v>1435</v>
      </c>
      <c r="J52" s="50">
        <v>0.0015687943</v>
      </c>
      <c r="K52" s="50">
        <v>0.092689037322998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30.0" customHeight="1">
      <c r="A53" s="2">
        <v>49.0</v>
      </c>
      <c r="B53" s="3" t="s">
        <v>1436</v>
      </c>
      <c r="C53" s="3"/>
      <c r="D53" s="2"/>
      <c r="E53" s="2"/>
      <c r="F53" s="29" t="s">
        <v>1437</v>
      </c>
      <c r="G53" s="28">
        <v>4.0E-4</v>
      </c>
      <c r="H53" s="28">
        <v>0.923596143722534</v>
      </c>
      <c r="I53" s="49" t="s">
        <v>1438</v>
      </c>
      <c r="J53" s="50">
        <v>3.8433075E-4</v>
      </c>
      <c r="K53" s="50">
        <v>1.52034044265747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30.0" customHeight="1">
      <c r="A54" s="2">
        <v>50.0</v>
      </c>
      <c r="B54" s="3" t="s">
        <v>1439</v>
      </c>
      <c r="C54" s="3"/>
      <c r="D54" s="2"/>
      <c r="E54" s="2"/>
      <c r="F54" s="29" t="s">
        <v>1440</v>
      </c>
      <c r="G54" s="28">
        <v>0.0</v>
      </c>
      <c r="H54" s="28">
        <v>27.4653458595275</v>
      </c>
      <c r="I54" s="49" t="s">
        <v>1441</v>
      </c>
      <c r="J54" s="50">
        <v>2.861023E-5</v>
      </c>
      <c r="K54" s="50">
        <v>86.5059492588043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2.75" customHeight="1">
      <c r="A55" s="2"/>
      <c r="B55" s="35"/>
      <c r="C55" s="3"/>
      <c r="D55" s="3"/>
      <c r="E55" s="3"/>
      <c r="F55" s="2"/>
      <c r="G55" s="2"/>
      <c r="H55" s="38">
        <f>SUM(H5:H54)</f>
        <v>1696.376802</v>
      </c>
      <c r="I55" s="3"/>
      <c r="J55" s="3"/>
      <c r="K55" s="49">
        <f>SUM(K5:K54)</f>
        <v>2636.677386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2.75" customHeight="1">
      <c r="A56" s="2"/>
      <c r="B56" s="3"/>
      <c r="C56" s="3"/>
      <c r="D56" s="3"/>
      <c r="E56" s="3"/>
      <c r="F56" s="2"/>
      <c r="G56" s="2"/>
      <c r="H56" s="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2.75" customHeight="1">
      <c r="A57" s="2"/>
      <c r="B57" s="3"/>
      <c r="C57" s="3"/>
      <c r="D57" s="3"/>
      <c r="E57" s="3"/>
      <c r="F57" s="2"/>
      <c r="G57" s="2"/>
      <c r="H57" s="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2.75" customHeight="1">
      <c r="A58" s="2"/>
      <c r="B58" s="3"/>
      <c r="C58" s="3"/>
      <c r="D58" s="3"/>
      <c r="E58" s="3"/>
      <c r="F58" s="2"/>
      <c r="G58" s="2"/>
      <c r="H58" s="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2.75" customHeight="1">
      <c r="A59" s="2"/>
      <c r="B59" s="3"/>
      <c r="C59" s="3"/>
      <c r="D59" s="3"/>
      <c r="E59" s="3"/>
      <c r="F59" s="2"/>
      <c r="G59" s="2"/>
      <c r="H59" s="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2.75" customHeight="1">
      <c r="A60" s="2"/>
      <c r="B60" s="3"/>
      <c r="C60" s="3"/>
      <c r="D60" s="3"/>
      <c r="E60" s="3"/>
      <c r="F60" s="2"/>
      <c r="G60" s="2"/>
      <c r="H60" s="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2.75" customHeight="1">
      <c r="A61" s="2"/>
      <c r="B61" s="3"/>
      <c r="C61" s="3"/>
      <c r="D61" s="3"/>
      <c r="E61" s="3"/>
      <c r="F61" s="2"/>
      <c r="G61" s="2"/>
      <c r="H61" s="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2.75" customHeight="1">
      <c r="A62" s="2"/>
      <c r="B62" s="3"/>
      <c r="C62" s="3"/>
      <c r="D62" s="3"/>
      <c r="E62" s="3"/>
      <c r="F62" s="2"/>
      <c r="G62" s="2"/>
      <c r="H62" s="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2.75" customHeight="1">
      <c r="A63" s="2"/>
      <c r="B63" s="3"/>
      <c r="C63" s="3"/>
      <c r="D63" s="3"/>
      <c r="E63" s="3"/>
      <c r="F63" s="2"/>
      <c r="G63" s="2"/>
      <c r="H63" s="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2.75" customHeight="1">
      <c r="A64" s="2"/>
      <c r="B64" s="3"/>
      <c r="C64" s="3"/>
      <c r="D64" s="3"/>
      <c r="E64" s="3"/>
      <c r="F64" s="2"/>
      <c r="G64" s="2"/>
      <c r="H64" s="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2.75" customHeight="1">
      <c r="A65" s="2"/>
      <c r="B65" s="3"/>
      <c r="C65" s="3"/>
      <c r="D65" s="3"/>
      <c r="E65" s="3"/>
      <c r="F65" s="2"/>
      <c r="G65" s="2"/>
      <c r="H65" s="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2.75" customHeight="1">
      <c r="A66" s="2"/>
      <c r="B66" s="3"/>
      <c r="C66" s="3"/>
      <c r="D66" s="3"/>
      <c r="E66" s="3"/>
      <c r="F66" s="2"/>
      <c r="G66" s="2"/>
      <c r="H66" s="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2.75" customHeight="1">
      <c r="A67" s="2"/>
      <c r="B67" s="3"/>
      <c r="C67" s="3"/>
      <c r="D67" s="3"/>
      <c r="E67" s="3"/>
      <c r="F67" s="2"/>
      <c r="G67" s="2"/>
      <c r="H67" s="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2.75" customHeight="1">
      <c r="A68" s="2"/>
      <c r="B68" s="3"/>
      <c r="C68" s="3"/>
      <c r="D68" s="3"/>
      <c r="E68" s="3"/>
      <c r="F68" s="2"/>
      <c r="G68" s="2"/>
      <c r="H68" s="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2.75" customHeight="1">
      <c r="A69" s="2"/>
      <c r="B69" s="3"/>
      <c r="C69" s="3"/>
      <c r="D69" s="3"/>
      <c r="E69" s="3"/>
      <c r="F69" s="2"/>
      <c r="G69" s="2"/>
      <c r="H69" s="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2.75" customHeight="1">
      <c r="A70" s="2"/>
      <c r="B70" s="3"/>
      <c r="C70" s="3"/>
      <c r="D70" s="3"/>
      <c r="E70" s="3"/>
      <c r="F70" s="2"/>
      <c r="G70" s="2"/>
      <c r="H70" s="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2.75" customHeight="1">
      <c r="A71" s="2"/>
      <c r="B71" s="3"/>
      <c r="C71" s="3"/>
      <c r="D71" s="3"/>
      <c r="E71" s="3"/>
      <c r="F71" s="2"/>
      <c r="G71" s="2"/>
      <c r="H71" s="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2.75" customHeight="1">
      <c r="A72" s="2"/>
      <c r="B72" s="3"/>
      <c r="C72" s="3"/>
      <c r="D72" s="3"/>
      <c r="E72" s="3"/>
      <c r="F72" s="2"/>
      <c r="G72" s="2"/>
      <c r="H72" s="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2.75" customHeight="1">
      <c r="A73" s="2"/>
      <c r="B73" s="3"/>
      <c r="C73" s="3"/>
      <c r="D73" s="3"/>
      <c r="E73" s="3"/>
      <c r="F73" s="2"/>
      <c r="G73" s="2"/>
      <c r="H73" s="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2.75" customHeight="1">
      <c r="A74" s="2"/>
      <c r="B74" s="3"/>
      <c r="C74" s="3"/>
      <c r="D74" s="3"/>
      <c r="E74" s="3"/>
      <c r="F74" s="2"/>
      <c r="G74" s="2"/>
      <c r="H74" s="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2.75" customHeight="1">
      <c r="A75" s="2"/>
      <c r="B75" s="3"/>
      <c r="C75" s="3"/>
      <c r="D75" s="3"/>
      <c r="E75" s="3"/>
      <c r="F75" s="2"/>
      <c r="G75" s="2"/>
      <c r="H75" s="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2.75" customHeight="1">
      <c r="A76" s="2"/>
      <c r="B76" s="3"/>
      <c r="C76" s="3"/>
      <c r="D76" s="3"/>
      <c r="E76" s="3"/>
      <c r="F76" s="2"/>
      <c r="G76" s="2"/>
      <c r="H76" s="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2.75" customHeight="1">
      <c r="A77" s="2"/>
      <c r="B77" s="3"/>
      <c r="C77" s="3"/>
      <c r="D77" s="3"/>
      <c r="E77" s="3"/>
      <c r="F77" s="2"/>
      <c r="G77" s="2"/>
      <c r="H77" s="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2.75" customHeight="1">
      <c r="A78" s="2"/>
      <c r="B78" s="3"/>
      <c r="C78" s="3"/>
      <c r="D78" s="3"/>
      <c r="E78" s="3"/>
      <c r="F78" s="2"/>
      <c r="G78" s="2"/>
      <c r="H78" s="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2.75" customHeight="1">
      <c r="A79" s="2"/>
      <c r="B79" s="3"/>
      <c r="C79" s="3"/>
      <c r="D79" s="3"/>
      <c r="E79" s="3"/>
      <c r="F79" s="2"/>
      <c r="G79" s="2"/>
      <c r="H79" s="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2.75" customHeight="1">
      <c r="A80" s="2"/>
      <c r="B80" s="3"/>
      <c r="C80" s="3"/>
      <c r="D80" s="3"/>
      <c r="E80" s="3"/>
      <c r="F80" s="2"/>
      <c r="G80" s="2"/>
      <c r="H80" s="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2.75" customHeight="1">
      <c r="A81" s="2"/>
      <c r="B81" s="3"/>
      <c r="C81" s="3"/>
      <c r="D81" s="3"/>
      <c r="E81" s="3"/>
      <c r="F81" s="2"/>
      <c r="G81" s="2"/>
      <c r="H81" s="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2.75" customHeight="1">
      <c r="A82" s="2"/>
      <c r="B82" s="3"/>
      <c r="C82" s="3"/>
      <c r="D82" s="3"/>
      <c r="E82" s="3"/>
      <c r="F82" s="2"/>
      <c r="G82" s="2"/>
      <c r="H82" s="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2.75" customHeight="1">
      <c r="A83" s="2"/>
      <c r="B83" s="3"/>
      <c r="C83" s="3"/>
      <c r="D83" s="3"/>
      <c r="E83" s="3"/>
      <c r="F83" s="2"/>
      <c r="G83" s="2"/>
      <c r="H83" s="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2.75" customHeight="1">
      <c r="A84" s="2"/>
      <c r="B84" s="3"/>
      <c r="C84" s="3"/>
      <c r="D84" s="3"/>
      <c r="E84" s="3"/>
      <c r="F84" s="2"/>
      <c r="G84" s="2"/>
      <c r="H84" s="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2.75" customHeight="1">
      <c r="A85" s="2"/>
      <c r="B85" s="3"/>
      <c r="C85" s="3"/>
      <c r="D85" s="3"/>
      <c r="E85" s="3"/>
      <c r="F85" s="2"/>
      <c r="G85" s="2"/>
      <c r="H85" s="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2.75" customHeight="1">
      <c r="A86" s="2"/>
      <c r="B86" s="3"/>
      <c r="C86" s="3"/>
      <c r="D86" s="3"/>
      <c r="E86" s="3"/>
      <c r="F86" s="2"/>
      <c r="G86" s="2"/>
      <c r="H86" s="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2.75" customHeight="1">
      <c r="A87" s="2"/>
      <c r="B87" s="3"/>
      <c r="C87" s="3"/>
      <c r="D87" s="3"/>
      <c r="E87" s="3"/>
      <c r="F87" s="2"/>
      <c r="G87" s="2"/>
      <c r="H87" s="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2.75" customHeight="1">
      <c r="A88" s="2"/>
      <c r="B88" s="3"/>
      <c r="C88" s="3"/>
      <c r="D88" s="3"/>
      <c r="E88" s="3"/>
      <c r="F88" s="2"/>
      <c r="G88" s="2"/>
      <c r="H88" s="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2.75" customHeight="1">
      <c r="A89" s="2"/>
      <c r="B89" s="3"/>
      <c r="C89" s="3"/>
      <c r="D89" s="3"/>
      <c r="E89" s="3"/>
      <c r="F89" s="2"/>
      <c r="G89" s="2"/>
      <c r="H89" s="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2.75" customHeight="1">
      <c r="A90" s="2"/>
      <c r="B90" s="3"/>
      <c r="C90" s="3"/>
      <c r="D90" s="3"/>
      <c r="E90" s="3"/>
      <c r="F90" s="2"/>
      <c r="G90" s="2"/>
      <c r="H90" s="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2.75" customHeight="1">
      <c r="A91" s="2"/>
      <c r="B91" s="3"/>
      <c r="C91" s="3"/>
      <c r="D91" s="3"/>
      <c r="E91" s="3"/>
      <c r="F91" s="2"/>
      <c r="G91" s="2"/>
      <c r="H91" s="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2.75" customHeight="1">
      <c r="A92" s="2"/>
      <c r="B92" s="3"/>
      <c r="C92" s="3"/>
      <c r="D92" s="3"/>
      <c r="E92" s="3"/>
      <c r="F92" s="2"/>
      <c r="G92" s="2"/>
      <c r="H92" s="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2.75" customHeight="1">
      <c r="A93" s="2"/>
      <c r="B93" s="3"/>
      <c r="C93" s="3"/>
      <c r="D93" s="3"/>
      <c r="E93" s="3"/>
      <c r="F93" s="2"/>
      <c r="G93" s="2"/>
      <c r="H93" s="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2.75" customHeight="1">
      <c r="A94" s="2"/>
      <c r="B94" s="3"/>
      <c r="C94" s="3"/>
      <c r="D94" s="3"/>
      <c r="E94" s="3"/>
      <c r="F94" s="2"/>
      <c r="G94" s="2"/>
      <c r="H94" s="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2.75" customHeight="1">
      <c r="A95" s="2"/>
      <c r="B95" s="3"/>
      <c r="C95" s="3"/>
      <c r="D95" s="3"/>
      <c r="E95" s="3"/>
      <c r="F95" s="2"/>
      <c r="G95" s="2"/>
      <c r="H95" s="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2.75" customHeight="1">
      <c r="A96" s="2"/>
      <c r="B96" s="3"/>
      <c r="C96" s="3"/>
      <c r="D96" s="3"/>
      <c r="E96" s="3"/>
      <c r="F96" s="2"/>
      <c r="G96" s="2"/>
      <c r="H96" s="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2.75" customHeight="1">
      <c r="A97" s="2"/>
      <c r="B97" s="3"/>
      <c r="C97" s="3"/>
      <c r="D97" s="3"/>
      <c r="E97" s="3"/>
      <c r="F97" s="2"/>
      <c r="G97" s="2"/>
      <c r="H97" s="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2.75" customHeight="1">
      <c r="A98" s="2"/>
      <c r="B98" s="3"/>
      <c r="C98" s="3"/>
      <c r="D98" s="3"/>
      <c r="E98" s="3"/>
      <c r="F98" s="2"/>
      <c r="G98" s="2"/>
      <c r="H98" s="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2.75" customHeight="1">
      <c r="A99" s="2"/>
      <c r="B99" s="3"/>
      <c r="C99" s="3"/>
      <c r="D99" s="3"/>
      <c r="E99" s="3"/>
      <c r="F99" s="2"/>
      <c r="G99" s="2"/>
      <c r="H99" s="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2.75" customHeight="1">
      <c r="A100" s="2"/>
      <c r="B100" s="3"/>
      <c r="C100" s="3"/>
      <c r="D100" s="3"/>
      <c r="E100" s="3"/>
      <c r="F100" s="2"/>
      <c r="G100" s="2"/>
      <c r="H100" s="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2.75" customHeight="1">
      <c r="A101" s="2"/>
      <c r="B101" s="3"/>
      <c r="C101" s="3"/>
      <c r="D101" s="3"/>
      <c r="E101" s="3"/>
      <c r="F101" s="2"/>
      <c r="G101" s="2"/>
      <c r="H101" s="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2.75" customHeight="1">
      <c r="A102" s="2"/>
      <c r="B102" s="3"/>
      <c r="C102" s="3"/>
      <c r="D102" s="3"/>
      <c r="E102" s="3"/>
      <c r="F102" s="2"/>
      <c r="G102" s="2"/>
      <c r="H102" s="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2.75" customHeight="1">
      <c r="A103" s="2"/>
      <c r="B103" s="3"/>
      <c r="C103" s="3"/>
      <c r="D103" s="3"/>
      <c r="E103" s="3"/>
      <c r="F103" s="2"/>
      <c r="G103" s="2"/>
      <c r="H103" s="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2.75" customHeight="1">
      <c r="A104" s="2"/>
      <c r="B104" s="3"/>
      <c r="C104" s="3"/>
      <c r="D104" s="3"/>
      <c r="E104" s="3"/>
      <c r="F104" s="2"/>
      <c r="G104" s="2"/>
      <c r="H104" s="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2.75" customHeight="1">
      <c r="A105" s="2"/>
      <c r="B105" s="3"/>
      <c r="C105" s="3"/>
      <c r="D105" s="3"/>
      <c r="E105" s="3"/>
      <c r="F105" s="2"/>
      <c r="G105" s="2"/>
      <c r="H105" s="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2.75" customHeight="1">
      <c r="A106" s="2"/>
      <c r="B106" s="3"/>
      <c r="C106" s="3"/>
      <c r="D106" s="3"/>
      <c r="E106" s="3"/>
      <c r="F106" s="2"/>
      <c r="G106" s="2"/>
      <c r="H106" s="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2.75" customHeight="1">
      <c r="A107" s="2"/>
      <c r="B107" s="3"/>
      <c r="C107" s="3"/>
      <c r="D107" s="3"/>
      <c r="E107" s="3"/>
      <c r="F107" s="2"/>
      <c r="G107" s="2"/>
      <c r="H107" s="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2.75" customHeight="1">
      <c r="A108" s="2"/>
      <c r="B108" s="3"/>
      <c r="C108" s="3"/>
      <c r="D108" s="3"/>
      <c r="E108" s="3"/>
      <c r="F108" s="2"/>
      <c r="G108" s="2"/>
      <c r="H108" s="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2"/>
      <c r="B109" s="3"/>
      <c r="C109" s="3"/>
      <c r="D109" s="3"/>
      <c r="E109" s="3"/>
      <c r="F109" s="2"/>
      <c r="G109" s="2"/>
      <c r="H109" s="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2"/>
      <c r="B110" s="3"/>
      <c r="C110" s="3"/>
      <c r="D110" s="3"/>
      <c r="E110" s="3"/>
      <c r="F110" s="2"/>
      <c r="G110" s="2"/>
      <c r="H110" s="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2"/>
      <c r="B111" s="3"/>
      <c r="C111" s="3"/>
      <c r="D111" s="3"/>
      <c r="E111" s="3"/>
      <c r="F111" s="2"/>
      <c r="G111" s="2"/>
      <c r="H111" s="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2"/>
      <c r="B112" s="3"/>
      <c r="C112" s="3"/>
      <c r="D112" s="3"/>
      <c r="E112" s="3"/>
      <c r="F112" s="2"/>
      <c r="G112" s="2"/>
      <c r="H112" s="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2"/>
      <c r="B113" s="3"/>
      <c r="C113" s="3"/>
      <c r="D113" s="3"/>
      <c r="E113" s="3"/>
      <c r="F113" s="2"/>
      <c r="G113" s="2"/>
      <c r="H113" s="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2"/>
      <c r="B114" s="3"/>
      <c r="C114" s="3"/>
      <c r="D114" s="3"/>
      <c r="E114" s="3"/>
      <c r="F114" s="2"/>
      <c r="G114" s="2"/>
      <c r="H114" s="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2"/>
      <c r="B115" s="3"/>
      <c r="C115" s="3"/>
      <c r="D115" s="3"/>
      <c r="E115" s="3"/>
      <c r="F115" s="2"/>
      <c r="G115" s="2"/>
      <c r="H115" s="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2"/>
      <c r="B116" s="3"/>
      <c r="C116" s="3"/>
      <c r="D116" s="3"/>
      <c r="E116" s="3"/>
      <c r="F116" s="2"/>
      <c r="G116" s="2"/>
      <c r="H116" s="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2"/>
      <c r="B117" s="3"/>
      <c r="C117" s="3"/>
      <c r="D117" s="3"/>
      <c r="E117" s="3"/>
      <c r="F117" s="2"/>
      <c r="G117" s="2"/>
      <c r="H117" s="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2"/>
      <c r="B118" s="3"/>
      <c r="C118" s="3"/>
      <c r="D118" s="3"/>
      <c r="E118" s="3"/>
      <c r="F118" s="2"/>
      <c r="G118" s="2"/>
      <c r="H118" s="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2"/>
      <c r="B119" s="3"/>
      <c r="C119" s="3"/>
      <c r="D119" s="3"/>
      <c r="E119" s="3"/>
      <c r="F119" s="2"/>
      <c r="G119" s="2"/>
      <c r="H119" s="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2"/>
      <c r="B120" s="3"/>
      <c r="C120" s="3"/>
      <c r="D120" s="3"/>
      <c r="E120" s="3"/>
      <c r="F120" s="2"/>
      <c r="G120" s="2"/>
      <c r="H120" s="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2"/>
      <c r="B121" s="3"/>
      <c r="C121" s="3"/>
      <c r="D121" s="3"/>
      <c r="E121" s="3"/>
      <c r="F121" s="2"/>
      <c r="G121" s="2"/>
      <c r="H121" s="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2"/>
      <c r="B122" s="3"/>
      <c r="C122" s="3"/>
      <c r="D122" s="3"/>
      <c r="E122" s="3"/>
      <c r="F122" s="2"/>
      <c r="G122" s="2"/>
      <c r="H122" s="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2"/>
      <c r="B123" s="3"/>
      <c r="C123" s="3"/>
      <c r="D123" s="3"/>
      <c r="E123" s="3"/>
      <c r="F123" s="2"/>
      <c r="G123" s="2"/>
      <c r="H123" s="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2"/>
      <c r="B124" s="3"/>
      <c r="C124" s="3"/>
      <c r="D124" s="3"/>
      <c r="E124" s="3"/>
      <c r="F124" s="2"/>
      <c r="G124" s="2"/>
      <c r="H124" s="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2"/>
      <c r="B125" s="3"/>
      <c r="C125" s="3"/>
      <c r="D125" s="3"/>
      <c r="E125" s="3"/>
      <c r="F125" s="2"/>
      <c r="G125" s="2"/>
      <c r="H125" s="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2"/>
      <c r="B126" s="3"/>
      <c r="C126" s="3"/>
      <c r="D126" s="3"/>
      <c r="E126" s="3"/>
      <c r="F126" s="2"/>
      <c r="G126" s="2"/>
      <c r="H126" s="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2"/>
      <c r="B127" s="3"/>
      <c r="C127" s="3"/>
      <c r="D127" s="3"/>
      <c r="E127" s="3"/>
      <c r="F127" s="2"/>
      <c r="G127" s="2"/>
      <c r="H127" s="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2"/>
      <c r="B128" s="3"/>
      <c r="C128" s="3"/>
      <c r="D128" s="3"/>
      <c r="E128" s="3"/>
      <c r="F128" s="2"/>
      <c r="G128" s="2"/>
      <c r="H128" s="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2"/>
      <c r="B129" s="3"/>
      <c r="C129" s="3"/>
      <c r="D129" s="3"/>
      <c r="E129" s="3"/>
      <c r="F129" s="2"/>
      <c r="G129" s="2"/>
      <c r="H129" s="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2"/>
      <c r="B130" s="3"/>
      <c r="C130" s="3"/>
      <c r="D130" s="3"/>
      <c r="E130" s="3"/>
      <c r="F130" s="2"/>
      <c r="G130" s="2"/>
      <c r="H130" s="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2"/>
      <c r="B131" s="3"/>
      <c r="C131" s="3"/>
      <c r="D131" s="3"/>
      <c r="E131" s="3"/>
      <c r="F131" s="2"/>
      <c r="G131" s="2"/>
      <c r="H131" s="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2"/>
      <c r="B132" s="3"/>
      <c r="C132" s="3"/>
      <c r="D132" s="3"/>
      <c r="E132" s="3"/>
      <c r="F132" s="2"/>
      <c r="G132" s="2"/>
      <c r="H132" s="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2"/>
      <c r="B133" s="3"/>
      <c r="C133" s="3"/>
      <c r="D133" s="3"/>
      <c r="E133" s="3"/>
      <c r="F133" s="2"/>
      <c r="G133" s="2"/>
      <c r="H133" s="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3"/>
      <c r="D134" s="3"/>
      <c r="E134" s="3"/>
      <c r="F134" s="2"/>
      <c r="G134" s="2"/>
      <c r="H134" s="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3"/>
      <c r="D135" s="3"/>
      <c r="E135" s="3"/>
      <c r="F135" s="2"/>
      <c r="G135" s="2"/>
      <c r="H135" s="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3"/>
      <c r="D136" s="3"/>
      <c r="E136" s="3"/>
      <c r="F136" s="2"/>
      <c r="G136" s="2"/>
      <c r="H136" s="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3"/>
      <c r="D137" s="3"/>
      <c r="E137" s="3"/>
      <c r="F137" s="2"/>
      <c r="G137" s="2"/>
      <c r="H137" s="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3"/>
      <c r="D138" s="3"/>
      <c r="E138" s="3"/>
      <c r="F138" s="2"/>
      <c r="G138" s="2"/>
      <c r="H138" s="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3"/>
      <c r="D139" s="3"/>
      <c r="E139" s="3"/>
      <c r="F139" s="2"/>
      <c r="G139" s="2"/>
      <c r="H139" s="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3"/>
      <c r="D140" s="3"/>
      <c r="E140" s="3"/>
      <c r="F140" s="2"/>
      <c r="G140" s="2"/>
      <c r="H140" s="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3"/>
      <c r="D141" s="3"/>
      <c r="E141" s="3"/>
      <c r="F141" s="2"/>
      <c r="G141" s="2"/>
      <c r="H141" s="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3"/>
      <c r="D142" s="3"/>
      <c r="E142" s="3"/>
      <c r="F142" s="2"/>
      <c r="G142" s="2"/>
      <c r="H142" s="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3"/>
      <c r="D143" s="3"/>
      <c r="E143" s="3"/>
      <c r="F143" s="2"/>
      <c r="G143" s="2"/>
      <c r="H143" s="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3"/>
      <c r="D144" s="3"/>
      <c r="E144" s="3"/>
      <c r="F144" s="2"/>
      <c r="G144" s="2"/>
      <c r="H144" s="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3"/>
      <c r="D145" s="3"/>
      <c r="E145" s="3"/>
      <c r="F145" s="2"/>
      <c r="G145" s="2"/>
      <c r="H145" s="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3"/>
      <c r="D146" s="3"/>
      <c r="E146" s="3"/>
      <c r="F146" s="2"/>
      <c r="G146" s="2"/>
      <c r="H146" s="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3"/>
      <c r="D147" s="3"/>
      <c r="E147" s="3"/>
      <c r="F147" s="2"/>
      <c r="G147" s="2"/>
      <c r="H147" s="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3"/>
      <c r="D148" s="3"/>
      <c r="E148" s="3"/>
      <c r="F148" s="2"/>
      <c r="G148" s="2"/>
      <c r="H148" s="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3"/>
      <c r="D149" s="3"/>
      <c r="E149" s="3"/>
      <c r="F149" s="2"/>
      <c r="G149" s="2"/>
      <c r="H149" s="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3"/>
      <c r="D150" s="3"/>
      <c r="E150" s="3"/>
      <c r="F150" s="2"/>
      <c r="G150" s="2"/>
      <c r="H150" s="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3"/>
      <c r="D151" s="3"/>
      <c r="E151" s="3"/>
      <c r="F151" s="2"/>
      <c r="G151" s="2"/>
      <c r="H151" s="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3"/>
      <c r="D152" s="3"/>
      <c r="E152" s="3"/>
      <c r="F152" s="2"/>
      <c r="G152" s="2"/>
      <c r="H152" s="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3"/>
      <c r="D153" s="3"/>
      <c r="E153" s="3"/>
      <c r="F153" s="2"/>
      <c r="G153" s="2"/>
      <c r="H153" s="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3"/>
      <c r="D154" s="3"/>
      <c r="E154" s="3"/>
      <c r="F154" s="2"/>
      <c r="G154" s="2"/>
      <c r="H154" s="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3"/>
      <c r="D155" s="3"/>
      <c r="E155" s="3"/>
      <c r="F155" s="2"/>
      <c r="G155" s="2"/>
      <c r="H155" s="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3"/>
      <c r="D156" s="3"/>
      <c r="E156" s="3"/>
      <c r="F156" s="2"/>
      <c r="G156" s="2"/>
      <c r="H156" s="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3"/>
      <c r="D157" s="3"/>
      <c r="E157" s="3"/>
      <c r="F157" s="2"/>
      <c r="G157" s="2"/>
      <c r="H157" s="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3"/>
      <c r="D158" s="3"/>
      <c r="E158" s="3"/>
      <c r="F158" s="2"/>
      <c r="G158" s="2"/>
      <c r="H158" s="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3"/>
      <c r="D159" s="3"/>
      <c r="E159" s="3"/>
      <c r="F159" s="2"/>
      <c r="G159" s="2"/>
      <c r="H159" s="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3"/>
      <c r="D160" s="3"/>
      <c r="E160" s="3"/>
      <c r="F160" s="2"/>
      <c r="G160" s="2"/>
      <c r="H160" s="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3"/>
      <c r="D161" s="3"/>
      <c r="E161" s="3"/>
      <c r="F161" s="2"/>
      <c r="G161" s="2"/>
      <c r="H161" s="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3"/>
      <c r="D162" s="3"/>
      <c r="E162" s="3"/>
      <c r="F162" s="2"/>
      <c r="G162" s="2"/>
      <c r="H162" s="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3"/>
      <c r="D163" s="3"/>
      <c r="E163" s="3"/>
      <c r="F163" s="2"/>
      <c r="G163" s="2"/>
      <c r="H163" s="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3"/>
      <c r="D164" s="3"/>
      <c r="E164" s="3"/>
      <c r="F164" s="2"/>
      <c r="G164" s="2"/>
      <c r="H164" s="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3"/>
      <c r="D165" s="3"/>
      <c r="E165" s="3"/>
      <c r="F165" s="2"/>
      <c r="G165" s="2"/>
      <c r="H165" s="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3"/>
      <c r="D166" s="3"/>
      <c r="E166" s="3"/>
      <c r="F166" s="2"/>
      <c r="G166" s="2"/>
      <c r="H166" s="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3"/>
      <c r="D167" s="3"/>
      <c r="E167" s="3"/>
      <c r="F167" s="2"/>
      <c r="G167" s="2"/>
      <c r="H167" s="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3"/>
      <c r="D168" s="3"/>
      <c r="E168" s="3"/>
      <c r="F168" s="2"/>
      <c r="G168" s="2"/>
      <c r="H168" s="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3"/>
      <c r="D169" s="3"/>
      <c r="E169" s="3"/>
      <c r="F169" s="2"/>
      <c r="G169" s="2"/>
      <c r="H169" s="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3"/>
      <c r="D170" s="3"/>
      <c r="E170" s="3"/>
      <c r="F170" s="2"/>
      <c r="G170" s="2"/>
      <c r="H170" s="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3"/>
      <c r="D171" s="3"/>
      <c r="E171" s="3"/>
      <c r="F171" s="2"/>
      <c r="G171" s="2"/>
      <c r="H171" s="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3"/>
      <c r="D172" s="3"/>
      <c r="E172" s="3"/>
      <c r="F172" s="2"/>
      <c r="G172" s="2"/>
      <c r="H172" s="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3"/>
      <c r="D173" s="3"/>
      <c r="E173" s="3"/>
      <c r="F173" s="2"/>
      <c r="G173" s="2"/>
      <c r="H173" s="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3"/>
      <c r="D174" s="3"/>
      <c r="E174" s="3"/>
      <c r="F174" s="2"/>
      <c r="G174" s="2"/>
      <c r="H174" s="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3"/>
      <c r="D175" s="3"/>
      <c r="E175" s="3"/>
      <c r="F175" s="2"/>
      <c r="G175" s="2"/>
      <c r="H175" s="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3"/>
      <c r="D176" s="3"/>
      <c r="E176" s="3"/>
      <c r="F176" s="2"/>
      <c r="G176" s="2"/>
      <c r="H176" s="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3"/>
      <c r="D177" s="3"/>
      <c r="E177" s="3"/>
      <c r="F177" s="2"/>
      <c r="G177" s="2"/>
      <c r="H177" s="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3"/>
      <c r="D178" s="3"/>
      <c r="E178" s="3"/>
      <c r="F178" s="2"/>
      <c r="G178" s="2"/>
      <c r="H178" s="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3"/>
      <c r="D179" s="3"/>
      <c r="E179" s="3"/>
      <c r="F179" s="2"/>
      <c r="G179" s="2"/>
      <c r="H179" s="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3"/>
      <c r="D180" s="3"/>
      <c r="E180" s="3"/>
      <c r="F180" s="2"/>
      <c r="G180" s="2"/>
      <c r="H180" s="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3"/>
      <c r="D181" s="3"/>
      <c r="E181" s="3"/>
      <c r="F181" s="2"/>
      <c r="G181" s="2"/>
      <c r="H181" s="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3"/>
      <c r="D182" s="3"/>
      <c r="E182" s="3"/>
      <c r="F182" s="2"/>
      <c r="G182" s="2"/>
      <c r="H182" s="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3"/>
      <c r="D183" s="3"/>
      <c r="E183" s="3"/>
      <c r="F183" s="2"/>
      <c r="G183" s="2"/>
      <c r="H183" s="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3"/>
      <c r="D184" s="3"/>
      <c r="E184" s="3"/>
      <c r="F184" s="2"/>
      <c r="G184" s="2"/>
      <c r="H184" s="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3"/>
      <c r="D185" s="3"/>
      <c r="E185" s="3"/>
      <c r="F185" s="2"/>
      <c r="G185" s="2"/>
      <c r="H185" s="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3"/>
      <c r="D186" s="3"/>
      <c r="E186" s="3"/>
      <c r="F186" s="2"/>
      <c r="G186" s="2"/>
      <c r="H186" s="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3"/>
      <c r="D187" s="3"/>
      <c r="E187" s="3"/>
      <c r="F187" s="2"/>
      <c r="G187" s="2"/>
      <c r="H187" s="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3"/>
      <c r="D188" s="3"/>
      <c r="E188" s="3"/>
      <c r="F188" s="2"/>
      <c r="G188" s="2"/>
      <c r="H188" s="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3"/>
      <c r="D189" s="3"/>
      <c r="E189" s="3"/>
      <c r="F189" s="2"/>
      <c r="G189" s="2"/>
      <c r="H189" s="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3"/>
      <c r="D190" s="3"/>
      <c r="E190" s="3"/>
      <c r="F190" s="2"/>
      <c r="G190" s="2"/>
      <c r="H190" s="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3"/>
      <c r="D191" s="3"/>
      <c r="E191" s="3"/>
      <c r="F191" s="2"/>
      <c r="G191" s="2"/>
      <c r="H191" s="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3"/>
      <c r="D192" s="3"/>
      <c r="E192" s="3"/>
      <c r="F192" s="2"/>
      <c r="G192" s="2"/>
      <c r="H192" s="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3"/>
      <c r="D193" s="3"/>
      <c r="E193" s="3"/>
      <c r="F193" s="2"/>
      <c r="G193" s="2"/>
      <c r="H193" s="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3"/>
      <c r="D194" s="3"/>
      <c r="E194" s="3"/>
      <c r="F194" s="2"/>
      <c r="G194" s="2"/>
      <c r="H194" s="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3"/>
      <c r="D195" s="3"/>
      <c r="E195" s="3"/>
      <c r="F195" s="2"/>
      <c r="G195" s="2"/>
      <c r="H195" s="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3"/>
      <c r="D196" s="3"/>
      <c r="E196" s="3"/>
      <c r="F196" s="2"/>
      <c r="G196" s="2"/>
      <c r="H196" s="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3"/>
      <c r="D197" s="3"/>
      <c r="E197" s="3"/>
      <c r="F197" s="2"/>
      <c r="G197" s="2"/>
      <c r="H197" s="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3"/>
      <c r="D198" s="3"/>
      <c r="E198" s="3"/>
      <c r="F198" s="2"/>
      <c r="G198" s="2"/>
      <c r="H198" s="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3"/>
      <c r="D199" s="3"/>
      <c r="E199" s="3"/>
      <c r="F199" s="2"/>
      <c r="G199" s="2"/>
      <c r="H199" s="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3"/>
      <c r="D200" s="3"/>
      <c r="E200" s="3"/>
      <c r="F200" s="2"/>
      <c r="G200" s="2"/>
      <c r="H200" s="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3"/>
      <c r="D201" s="3"/>
      <c r="E201" s="3"/>
      <c r="F201" s="2"/>
      <c r="G201" s="2"/>
      <c r="H201" s="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3"/>
      <c r="D202" s="3"/>
      <c r="E202" s="3"/>
      <c r="F202" s="2"/>
      <c r="G202" s="2"/>
      <c r="H202" s="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3"/>
      <c r="D203" s="3"/>
      <c r="E203" s="3"/>
      <c r="F203" s="2"/>
      <c r="G203" s="2"/>
      <c r="H203" s="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3"/>
      <c r="D204" s="3"/>
      <c r="E204" s="3"/>
      <c r="F204" s="2"/>
      <c r="G204" s="2"/>
      <c r="H204" s="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3"/>
      <c r="D205" s="3"/>
      <c r="E205" s="3"/>
      <c r="F205" s="2"/>
      <c r="G205" s="2"/>
      <c r="H205" s="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3"/>
      <c r="D206" s="3"/>
      <c r="E206" s="3"/>
      <c r="F206" s="2"/>
      <c r="G206" s="2"/>
      <c r="H206" s="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3"/>
      <c r="D207" s="3"/>
      <c r="E207" s="3"/>
      <c r="F207" s="2"/>
      <c r="G207" s="2"/>
      <c r="H207" s="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3"/>
      <c r="D208" s="3"/>
      <c r="E208" s="3"/>
      <c r="F208" s="2"/>
      <c r="G208" s="2"/>
      <c r="H208" s="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3"/>
      <c r="D209" s="3"/>
      <c r="E209" s="3"/>
      <c r="F209" s="2"/>
      <c r="G209" s="2"/>
      <c r="H209" s="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3"/>
      <c r="D210" s="3"/>
      <c r="E210" s="3"/>
      <c r="F210" s="2"/>
      <c r="G210" s="2"/>
      <c r="H210" s="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3"/>
      <c r="D211" s="3"/>
      <c r="E211" s="3"/>
      <c r="F211" s="2"/>
      <c r="G211" s="2"/>
      <c r="H211" s="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3"/>
      <c r="D212" s="3"/>
      <c r="E212" s="3"/>
      <c r="F212" s="2"/>
      <c r="G212" s="2"/>
      <c r="H212" s="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3"/>
      <c r="D213" s="3"/>
      <c r="E213" s="3"/>
      <c r="F213" s="2"/>
      <c r="G213" s="2"/>
      <c r="H213" s="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3"/>
      <c r="D214" s="3"/>
      <c r="E214" s="3"/>
      <c r="F214" s="2"/>
      <c r="G214" s="2"/>
      <c r="H214" s="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3"/>
      <c r="D215" s="3"/>
      <c r="E215" s="3"/>
      <c r="F215" s="2"/>
      <c r="G215" s="2"/>
      <c r="H215" s="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3"/>
      <c r="D216" s="3"/>
      <c r="E216" s="3"/>
      <c r="F216" s="2"/>
      <c r="G216" s="2"/>
      <c r="H216" s="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3"/>
      <c r="D217" s="3"/>
      <c r="E217" s="3"/>
      <c r="F217" s="2"/>
      <c r="G217" s="2"/>
      <c r="H217" s="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3"/>
      <c r="D218" s="3"/>
      <c r="E218" s="3"/>
      <c r="F218" s="2"/>
      <c r="G218" s="2"/>
      <c r="H218" s="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3"/>
      <c r="D219" s="3"/>
      <c r="E219" s="3"/>
      <c r="F219" s="2"/>
      <c r="G219" s="2"/>
      <c r="H219" s="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3"/>
      <c r="D220" s="3"/>
      <c r="E220" s="3"/>
      <c r="F220" s="2"/>
      <c r="G220" s="2"/>
      <c r="H220" s="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3"/>
      <c r="D221" s="3"/>
      <c r="E221" s="3"/>
      <c r="F221" s="2"/>
      <c r="G221" s="2"/>
      <c r="H221" s="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3"/>
      <c r="D222" s="3"/>
      <c r="E222" s="3"/>
      <c r="F222" s="2"/>
      <c r="G222" s="2"/>
      <c r="H222" s="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3"/>
      <c r="D223" s="3"/>
      <c r="E223" s="3"/>
      <c r="F223" s="2"/>
      <c r="G223" s="2"/>
      <c r="H223" s="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3"/>
      <c r="D224" s="3"/>
      <c r="E224" s="3"/>
      <c r="F224" s="2"/>
      <c r="G224" s="2"/>
      <c r="H224" s="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3"/>
      <c r="D225" s="3"/>
      <c r="E225" s="3"/>
      <c r="F225" s="2"/>
      <c r="G225" s="2"/>
      <c r="H225" s="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3"/>
      <c r="D226" s="3"/>
      <c r="E226" s="3"/>
      <c r="F226" s="2"/>
      <c r="G226" s="2"/>
      <c r="H226" s="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3"/>
      <c r="D227" s="3"/>
      <c r="E227" s="3"/>
      <c r="F227" s="2"/>
      <c r="G227" s="2"/>
      <c r="H227" s="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3"/>
      <c r="D228" s="3"/>
      <c r="E228" s="3"/>
      <c r="F228" s="2"/>
      <c r="G228" s="2"/>
      <c r="H228" s="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3"/>
      <c r="D229" s="3"/>
      <c r="E229" s="3"/>
      <c r="F229" s="2"/>
      <c r="G229" s="2"/>
      <c r="H229" s="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3"/>
      <c r="D230" s="3"/>
      <c r="E230" s="3"/>
      <c r="F230" s="2"/>
      <c r="G230" s="2"/>
      <c r="H230" s="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3"/>
      <c r="D231" s="3"/>
      <c r="E231" s="3"/>
      <c r="F231" s="2"/>
      <c r="G231" s="2"/>
      <c r="H231" s="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3"/>
      <c r="D232" s="3"/>
      <c r="E232" s="3"/>
      <c r="F232" s="2"/>
      <c r="G232" s="2"/>
      <c r="H232" s="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3"/>
      <c r="D233" s="3"/>
      <c r="E233" s="3"/>
      <c r="F233" s="2"/>
      <c r="G233" s="2"/>
      <c r="H233" s="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3"/>
      <c r="D234" s="3"/>
      <c r="E234" s="3"/>
      <c r="F234" s="2"/>
      <c r="G234" s="2"/>
      <c r="H234" s="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3"/>
      <c r="D235" s="3"/>
      <c r="E235" s="3"/>
      <c r="F235" s="2"/>
      <c r="G235" s="2"/>
      <c r="H235" s="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3"/>
      <c r="D236" s="3"/>
      <c r="E236" s="3"/>
      <c r="F236" s="2"/>
      <c r="G236" s="2"/>
      <c r="H236" s="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3"/>
      <c r="D237" s="3"/>
      <c r="E237" s="3"/>
      <c r="F237" s="2"/>
      <c r="G237" s="2"/>
      <c r="H237" s="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3"/>
      <c r="D238" s="3"/>
      <c r="E238" s="3"/>
      <c r="F238" s="2"/>
      <c r="G238" s="2"/>
      <c r="H238" s="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3"/>
      <c r="D239" s="3"/>
      <c r="E239" s="3"/>
      <c r="F239" s="2"/>
      <c r="G239" s="2"/>
      <c r="H239" s="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3"/>
      <c r="D240" s="3"/>
      <c r="E240" s="3"/>
      <c r="F240" s="2"/>
      <c r="G240" s="2"/>
      <c r="H240" s="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3"/>
      <c r="D241" s="3"/>
      <c r="E241" s="3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3"/>
      <c r="D242" s="3"/>
      <c r="E242" s="3"/>
      <c r="F242" s="2"/>
      <c r="G242" s="2"/>
      <c r="H242" s="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3"/>
      <c r="D243" s="3"/>
      <c r="E243" s="3"/>
      <c r="F243" s="2"/>
      <c r="G243" s="2"/>
      <c r="H243" s="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3"/>
      <c r="D244" s="3"/>
      <c r="E244" s="3"/>
      <c r="F244" s="2"/>
      <c r="G244" s="2"/>
      <c r="H244" s="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3"/>
      <c r="D245" s="3"/>
      <c r="E245" s="3"/>
      <c r="F245" s="2"/>
      <c r="G245" s="2"/>
      <c r="H245" s="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3"/>
      <c r="D246" s="3"/>
      <c r="E246" s="3"/>
      <c r="F246" s="2"/>
      <c r="G246" s="2"/>
      <c r="H246" s="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3"/>
      <c r="D247" s="3"/>
      <c r="E247" s="3"/>
      <c r="F247" s="2"/>
      <c r="G247" s="2"/>
      <c r="H247" s="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3"/>
      <c r="D248" s="3"/>
      <c r="E248" s="3"/>
      <c r="F248" s="2"/>
      <c r="G248" s="2"/>
      <c r="H248" s="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3"/>
      <c r="D249" s="3"/>
      <c r="E249" s="3"/>
      <c r="F249" s="2"/>
      <c r="G249" s="2"/>
      <c r="H249" s="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3"/>
      <c r="D250" s="3"/>
      <c r="E250" s="3"/>
      <c r="F250" s="2"/>
      <c r="G250" s="2"/>
      <c r="H250" s="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3"/>
      <c r="D251" s="3"/>
      <c r="E251" s="3"/>
      <c r="F251" s="2"/>
      <c r="G251" s="2"/>
      <c r="H251" s="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3"/>
      <c r="D252" s="3"/>
      <c r="E252" s="3"/>
      <c r="F252" s="2"/>
      <c r="G252" s="2"/>
      <c r="H252" s="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3"/>
      <c r="D253" s="3"/>
      <c r="E253" s="3"/>
      <c r="F253" s="2"/>
      <c r="G253" s="2"/>
      <c r="H253" s="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3"/>
      <c r="D254" s="3"/>
      <c r="E254" s="3"/>
      <c r="F254" s="2"/>
      <c r="G254" s="2"/>
      <c r="H254" s="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C2"/>
    <mergeCell ref="C3:E3"/>
    <mergeCell ref="F3:H3"/>
    <mergeCell ref="I3:K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6" width="14.43"/>
  </cols>
  <sheetData>
    <row r="1">
      <c r="A1" s="72"/>
      <c r="B1" s="73"/>
      <c r="C1" s="74"/>
    </row>
    <row r="2">
      <c r="A2" s="70" t="s">
        <v>1442</v>
      </c>
      <c r="B2" s="70" t="s">
        <v>1443</v>
      </c>
      <c r="C2" s="70" t="s">
        <v>1444</v>
      </c>
    </row>
    <row r="3">
      <c r="A3" s="70" t="s">
        <v>1445</v>
      </c>
      <c r="B3" s="70" t="s">
        <v>1446</v>
      </c>
      <c r="C3" s="70" t="s">
        <v>1447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2025-11-12T03:35:49Z</dcterms:created>
  <dc:creator>Luz Enith</dc:creator>
</cp:coreProperties>
</file>